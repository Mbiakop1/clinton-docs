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Resource Types" sheetId="2" state="visible" r:id="rId4"/>
  </sheets>
  <definedNames>
    <definedName function="false" hidden="true" localSheetId="1" name="_xlnm._FilterDatabase" vbProcedure="false">'Resource Types'!$A$4:$I$113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<sst xmlns="http://schemas.openxmlformats.org/spreadsheetml/2006/main" count="914" uniqueCount="497">
  <si>
    <t xml:space="preserve">Overview</t>
  </si>
  <si>
    <t xml:space="preserve">Counts are calculated from the Resource Types sheet.</t>
  </si>
  <si>
    <t xml:space="preserve">Area</t>
  </si>
  <si>
    <t xml:space="preserve">Resource types</t>
  </si>
  <si>
    <t xml:space="preserve">Qualifier required</t>
  </si>
  <si>
    <t xml:space="preserve">No qualifier</t>
  </si>
  <si>
    <t xml:space="preserve">Global (no region)</t>
  </si>
  <si>
    <t xml:space="preserve">Identity and governance</t>
  </si>
  <si>
    <t xml:space="preserve">Networking</t>
  </si>
  <si>
    <t xml:space="preserve">Compute</t>
  </si>
  <si>
    <t xml:space="preserve">Kubernetes (OKE)</t>
  </si>
  <si>
    <t xml:space="preserve">Databases</t>
  </si>
  <si>
    <t xml:space="preserve">Storage</t>
  </si>
  <si>
    <t xml:space="preserve">Security</t>
  </si>
  <si>
    <t xml:space="preserve">Integration and application services</t>
  </si>
  <si>
    <t xml:space="preserve">Observability</t>
  </si>
  <si>
    <t xml:space="preserve">Data and analytics</t>
  </si>
  <si>
    <t xml:space="preserve">DevOps and disaster recovery</t>
  </si>
  <si>
    <t xml:space="preserve">Total</t>
  </si>
  <si>
    <t xml:space="preserve">Pattern</t>
  </si>
  <si>
    <t xml:space="preserve">&lt;org&gt;-&lt;env&gt;-&lt;rgn&gt;-&lt;type&gt;-&lt;app&gt;[-&lt;qual&gt;]-&lt;nn&gt;</t>
  </si>
  <si>
    <t xml:space="preserve">org</t>
  </si>
  <si>
    <t xml:space="preserve">cmr</t>
  </si>
  <si>
    <t xml:space="preserve">env</t>
  </si>
  <si>
    <t xml:space="preserve">dev, uat, prd</t>
  </si>
  <si>
    <t xml:space="preserve">rgn</t>
  </si>
  <si>
    <t xml:space="preserve">cas (Casablanca), jnb (Johannesburg); none for Global types</t>
  </si>
  <si>
    <t xml:space="preserve">Example</t>
  </si>
  <si>
    <t xml:space="preserve">cmr-prd-cas-vm-cbs-ol-01</t>
  </si>
  <si>
    <t xml:space="preserve">See OCI_Naming_Qualifier_Codes.xlsx for when to choose each qualifier code and the name builder.</t>
  </si>
  <si>
    <t xml:space="preserve">OCI Naming Standard (cmr) - All resource types and their codes</t>
  </si>
  <si>
    <t xml:space="preserve">Copy the type code into the &lt;type&gt; field. Scope Global = no region field. Qualifier Required = select one of the allowed codes; None = no qualifier.</t>
  </si>
  <si>
    <t xml:space="preserve">Type code</t>
  </si>
  <si>
    <t xml:space="preserve">OCI resource</t>
  </si>
  <si>
    <t xml:space="preserve">What it is</t>
  </si>
  <si>
    <t xml:space="preserve">Scope</t>
  </si>
  <si>
    <t xml:space="preserve">Region field</t>
  </si>
  <si>
    <t xml:space="preserve">Qualifier</t>
  </si>
  <si>
    <t xml:space="preserve">Allowed qualifier codes (select one)</t>
  </si>
  <si>
    <t xml:space="preserve">Example name</t>
  </si>
  <si>
    <t xml:space="preserve">pol</t>
  </si>
  <si>
    <t xml:space="preserve">IAM policy</t>
  </si>
  <si>
    <t xml:space="preserve">A set of permission statements</t>
  </si>
  <si>
    <t xml:space="preserve">Global</t>
  </si>
  <si>
    <t xml:space="preserve">Required</t>
  </si>
  <si>
    <t xml:space="preserve">admin, oper, read, audit, deploy, brkgl</t>
  </si>
  <si>
    <t xml:space="preserve">cmr-prd-pol-cbs-oper-01</t>
  </si>
  <si>
    <t xml:space="preserve">grp</t>
  </si>
  <si>
    <t xml:space="preserve">IAM group</t>
  </si>
  <si>
    <t xml:space="preserve">A group of users</t>
  </si>
  <si>
    <t xml:space="preserve">cmr-prd-grp-cbs-admin-01</t>
  </si>
  <si>
    <t xml:space="preserve">dgp</t>
  </si>
  <si>
    <t xml:space="preserve">Dynamic group</t>
  </si>
  <si>
    <t xml:space="preserve">A group of OCI resources that act as principals</t>
  </si>
  <si>
    <t xml:space="preserve">fn, vm, oke, adb, dis, dfa, apg</t>
  </si>
  <si>
    <t xml:space="preserve">cmr-prd-dgp-pay-fn-01</t>
  </si>
  <si>
    <t xml:space="preserve">idd</t>
  </si>
  <si>
    <t xml:space="preserve">Identity domain</t>
  </si>
  <si>
    <t xml:space="preserve">A user directory in OCI IAM</t>
  </si>
  <si>
    <t xml:space="preserve">None</t>
  </si>
  <si>
    <t xml:space="preserve">-</t>
  </si>
  <si>
    <t xml:space="preserve">cmr-prd-idd-wkf-01</t>
  </si>
  <si>
    <t xml:space="preserve">qta</t>
  </si>
  <si>
    <t xml:space="preserve">Quota policy</t>
  </si>
  <si>
    <t xml:space="preserve">Limits on services or regions for a compartment</t>
  </si>
  <si>
    <t xml:space="preserve">cmr-prd-qta-cbs-01</t>
  </si>
  <si>
    <t xml:space="preserve">bgt</t>
  </si>
  <si>
    <t xml:space="preserve">Budget</t>
  </si>
  <si>
    <t xml:space="preserve">Cost budget and alerts</t>
  </si>
  <si>
    <t xml:space="preserve">cmr-prd-bgt-cbs-01</t>
  </si>
  <si>
    <t xml:space="preserve">szn</t>
  </si>
  <si>
    <t xml:space="preserve">Security zone</t>
  </si>
  <si>
    <t xml:space="preserve">Enforced security posture on a compartment</t>
  </si>
  <si>
    <t xml:space="preserve">cmr-prd-szn-cbs-01</t>
  </si>
  <si>
    <t xml:space="preserve">cgt</t>
  </si>
  <si>
    <t xml:space="preserve">Cloud Guard target</t>
  </si>
  <si>
    <t xml:space="preserve">Compartment scope monitored by Cloud Guard</t>
  </si>
  <si>
    <t xml:space="preserve">cmr-prd-cgt-soc-01</t>
  </si>
  <si>
    <t xml:space="preserve">vcn</t>
  </si>
  <si>
    <t xml:space="preserve">Virtual cloud network</t>
  </si>
  <si>
    <t xml:space="preserve">Private network</t>
  </si>
  <si>
    <t xml:space="preserve">Regional</t>
  </si>
  <si>
    <t xml:space="preserve">cmr-prd-cas-vcn-01</t>
  </si>
  <si>
    <t xml:space="preserve">snt</t>
  </si>
  <si>
    <t xml:space="preserve">Subnet</t>
  </si>
  <si>
    <t xml:space="preserve">IP range inside a VCN</t>
  </si>
  <si>
    <t xml:space="preserve">dmz, lb, web, app, db, wrk, kapi, pod, mgmt, pe, fw, itg</t>
  </si>
  <si>
    <t xml:space="preserve">cmr-prd-cas-snt-cbs-db-01</t>
  </si>
  <si>
    <t xml:space="preserve">nsg</t>
  </si>
  <si>
    <t xml:space="preserve">Network security group</t>
  </si>
  <si>
    <t xml:space="preserve">Firewall rules for a group of VNICs</t>
  </si>
  <si>
    <t xml:space="preserve">cmr-prd-cas-nsg-cbs-app-01</t>
  </si>
  <si>
    <t xml:space="preserve">scl</t>
  </si>
  <si>
    <t xml:space="preserve">Security list</t>
  </si>
  <si>
    <t xml:space="preserve">Firewall rules for a subnet</t>
  </si>
  <si>
    <t xml:space="preserve">cmr-prd-cas-scl-cbs-db-01</t>
  </si>
  <si>
    <t xml:space="preserve">rtb</t>
  </si>
  <si>
    <t xml:space="preserve">Route table</t>
  </si>
  <si>
    <t xml:space="preserve">Routing rules</t>
  </si>
  <si>
    <t xml:space="preserve">dmz, lb, web, app, db, wrk, kapi, pod, mgmt, pe, fw, itg, drg, igw</t>
  </si>
  <si>
    <t xml:space="preserve">cmr-prd-cas-rtb-cbs-app-01</t>
  </si>
  <si>
    <t xml:space="preserve">dho</t>
  </si>
  <si>
    <t xml:space="preserve">DHCP options</t>
  </si>
  <si>
    <t xml:space="preserve">DNS / search domain settings for a VCN</t>
  </si>
  <si>
    <t xml:space="preserve">cmr-prd-cas-dho-01</t>
  </si>
  <si>
    <t xml:space="preserve">drg</t>
  </si>
  <si>
    <t xml:space="preserve">Dynamic routing gateway</t>
  </si>
  <si>
    <t xml:space="preserve">Router between VCNs, on-premises and regions</t>
  </si>
  <si>
    <t xml:space="preserve">cmr-prd-cas-drg-01</t>
  </si>
  <si>
    <t xml:space="preserve">dra</t>
  </si>
  <si>
    <t xml:space="preserve">DRG attachment</t>
  </si>
  <si>
    <t xml:space="preserve">Connection of a network to a DRG</t>
  </si>
  <si>
    <t xml:space="preserve">vcn, fcv, ips, rpc</t>
  </si>
  <si>
    <t xml:space="preserve">cmr-prd-cas-dra-cbs-vcn-01</t>
  </si>
  <si>
    <t xml:space="preserve">drt</t>
  </si>
  <si>
    <t xml:space="preserve">DRG route table / distribution</t>
  </si>
  <si>
    <t xml:space="preserve">Routing inside a DRG</t>
  </si>
  <si>
    <t xml:space="preserve">cmr-prd-cas-drt-01</t>
  </si>
  <si>
    <t xml:space="preserve">igw</t>
  </si>
  <si>
    <t xml:space="preserve">Internet gateway</t>
  </si>
  <si>
    <t xml:space="preserve">Internet access for public subnets</t>
  </si>
  <si>
    <t xml:space="preserve">cmr-prd-cas-igw-01</t>
  </si>
  <si>
    <t xml:space="preserve">ngw</t>
  </si>
  <si>
    <t xml:space="preserve">NAT gateway</t>
  </si>
  <si>
    <t xml:space="preserve">Outbound-only internet access</t>
  </si>
  <si>
    <t xml:space="preserve">cmr-prd-cas-ngw-01</t>
  </si>
  <si>
    <t xml:space="preserve">sgw</t>
  </si>
  <si>
    <t xml:space="preserve">Service gateway</t>
  </si>
  <si>
    <t xml:space="preserve">Private access to OCI services</t>
  </si>
  <si>
    <t xml:space="preserve">cmr-prd-cas-sgw-01</t>
  </si>
  <si>
    <t xml:space="preserve">lpg</t>
  </si>
  <si>
    <t xml:space="preserve">Local peering gateway</t>
  </si>
  <si>
    <t xml:space="preserve">VCN-to-VCN peering in one region</t>
  </si>
  <si>
    <t xml:space="preserve">cmr-prd-cas-lpg-01</t>
  </si>
  <si>
    <t xml:space="preserve">rpc</t>
  </si>
  <si>
    <t xml:space="preserve">Remote peering connection</t>
  </si>
  <si>
    <t xml:space="preserve">Region-to-region peering</t>
  </si>
  <si>
    <t xml:space="preserve">cas, jnb</t>
  </si>
  <si>
    <t xml:space="preserve">cmr-prd-cas-rpc-hub-jnb-01</t>
  </si>
  <si>
    <t xml:space="preserve">fcv</t>
  </si>
  <si>
    <t xml:space="preserve">FastConnect virtual circuit</t>
  </si>
  <si>
    <t xml:space="preserve">Private link to on-premises</t>
  </si>
  <si>
    <t xml:space="preserve">cmr-prd-cas-fcv-01</t>
  </si>
  <si>
    <t xml:space="preserve">ips</t>
  </si>
  <si>
    <t xml:space="preserve">Site-to-Site VPN (IPSec)</t>
  </si>
  <si>
    <t xml:space="preserve">Encrypted tunnel to on-premises</t>
  </si>
  <si>
    <t xml:space="preserve">cmr-prd-cas-ips-01</t>
  </si>
  <si>
    <t xml:space="preserve">cpe</t>
  </si>
  <si>
    <t xml:space="preserve">Customer-premises equipment</t>
  </si>
  <si>
    <t xml:space="preserve">On-premises VPN device definition</t>
  </si>
  <si>
    <t xml:space="preserve">cmr-prd-cas-cpe-01</t>
  </si>
  <si>
    <t xml:space="preserve">pip</t>
  </si>
  <si>
    <t xml:space="preserve">Reserved public IP</t>
  </si>
  <si>
    <t xml:space="preserve">Static public IP address</t>
  </si>
  <si>
    <t xml:space="preserve">cmr-prd-cas-pip-01</t>
  </si>
  <si>
    <t xml:space="preserve">lb</t>
  </si>
  <si>
    <t xml:space="preserve">Load balancer</t>
  </si>
  <si>
    <t xml:space="preserve">Layer-7 flexible load balancer</t>
  </si>
  <si>
    <t xml:space="preserve">ext, int</t>
  </si>
  <si>
    <t xml:space="preserve">cmr-prd-cas-lb-cbs-ext-01</t>
  </si>
  <si>
    <t xml:space="preserve">nlb</t>
  </si>
  <si>
    <t xml:space="preserve">Network load balancer</t>
  </si>
  <si>
    <t xml:space="preserve">Layer-4 load balancer</t>
  </si>
  <si>
    <t xml:space="preserve">cmr-prd-cas-nlb-pay-int-01</t>
  </si>
  <si>
    <t xml:space="preserve">nfw</t>
  </si>
  <si>
    <t xml:space="preserve">Network Firewall</t>
  </si>
  <si>
    <t xml:space="preserve">Managed next-generation firewall</t>
  </si>
  <si>
    <t xml:space="preserve">cmr-prd-cas-nfw-01</t>
  </si>
  <si>
    <t xml:space="preserve">nfp</t>
  </si>
  <si>
    <t xml:space="preserve">Network Firewall policy</t>
  </si>
  <si>
    <t xml:space="preserve">Rules used by a Network Firewall</t>
  </si>
  <si>
    <t xml:space="preserve">cmr-prd-cas-nfp-01</t>
  </si>
  <si>
    <t xml:space="preserve">dnv</t>
  </si>
  <si>
    <t xml:space="preserve">Private DNS view</t>
  </si>
  <si>
    <t xml:space="preserve">Private DNS zones container</t>
  </si>
  <si>
    <t xml:space="preserve">cmr-prd-cas-dnv-01</t>
  </si>
  <si>
    <t xml:space="preserve">dre</t>
  </si>
  <si>
    <t xml:space="preserve">DNS resolver endpoint</t>
  </si>
  <si>
    <t xml:space="preserve">Forwarding / listening DNS endpoint</t>
  </si>
  <si>
    <t xml:space="preserve">cmr-prd-cas-dre-01</t>
  </si>
  <si>
    <t xml:space="preserve">tsp</t>
  </si>
  <si>
    <t xml:space="preserve">Traffic steering policy</t>
  </si>
  <si>
    <t xml:space="preserve">DNS-based failover or load sharing</t>
  </si>
  <si>
    <t xml:space="preserve">cmr-prd-cas-tsp-01</t>
  </si>
  <si>
    <t xml:space="preserve">pep</t>
  </si>
  <si>
    <t xml:space="preserve">Private endpoint</t>
  </si>
  <si>
    <t xml:space="preserve">Private access point for an OCI service</t>
  </si>
  <si>
    <t xml:space="preserve">cmr-prd-cas-pep-01</t>
  </si>
  <si>
    <t xml:space="preserve">vm</t>
  </si>
  <si>
    <t xml:space="preserve">VM instance</t>
  </si>
  <si>
    <t xml:space="preserve">Virtual machine</t>
  </si>
  <si>
    <t xml:space="preserve">ol, rhel, win, ubu</t>
  </si>
  <si>
    <t xml:space="preserve">bm</t>
  </si>
  <si>
    <t xml:space="preserve">Bare metal instance</t>
  </si>
  <si>
    <t xml:space="preserve">Physical server</t>
  </si>
  <si>
    <t xml:space="preserve">cmr-prd-cas-bm-cbs-ol-01</t>
  </si>
  <si>
    <t xml:space="preserve">icf</t>
  </si>
  <si>
    <t xml:space="preserve">Instance configuration</t>
  </si>
  <si>
    <t xml:space="preserve">Template for creating instances</t>
  </si>
  <si>
    <t xml:space="preserve">cmr-prd-cas-icf-pay-ol-01</t>
  </si>
  <si>
    <t xml:space="preserve">ipl</t>
  </si>
  <si>
    <t xml:space="preserve">Instance pool</t>
  </si>
  <si>
    <t xml:space="preserve">Group of identical instances</t>
  </si>
  <si>
    <t xml:space="preserve">cmr-prd-cas-ipl-pay-ol-01</t>
  </si>
  <si>
    <t xml:space="preserve">asc</t>
  </si>
  <si>
    <t xml:space="preserve">Autoscaling configuration</t>
  </si>
  <si>
    <t xml:space="preserve">Scaling rules for an instance pool</t>
  </si>
  <si>
    <t xml:space="preserve">cmr-prd-cas-asc-01</t>
  </si>
  <si>
    <t xml:space="preserve">cln</t>
  </si>
  <si>
    <t xml:space="preserve">Cluster network</t>
  </si>
  <si>
    <t xml:space="preserve">RDMA-connected bare metal cluster</t>
  </si>
  <si>
    <t xml:space="preserve">cmr-prd-cas-cln-01</t>
  </si>
  <si>
    <t xml:space="preserve">img</t>
  </si>
  <si>
    <t xml:space="preserve">Custom image</t>
  </si>
  <si>
    <t xml:space="preserve">Captured or imported boot image</t>
  </si>
  <si>
    <t xml:space="preserve">ol&lt;version&gt;, rhel&lt;version&gt;, win&lt;version&gt;, ubu&lt;version&gt;</t>
  </si>
  <si>
    <t xml:space="preserve">cmr-prd-cas-img-gold-ol9-20260915</t>
  </si>
  <si>
    <t xml:space="preserve">bov</t>
  </si>
  <si>
    <t xml:space="preserve">Boot volume (detached, kept)</t>
  </si>
  <si>
    <t xml:space="preserve">OS disk not attached to an instance</t>
  </si>
  <si>
    <t xml:space="preserve">cmr-prd-cas-bov-01</t>
  </si>
  <si>
    <t xml:space="preserve">blv</t>
  </si>
  <si>
    <t xml:space="preserve">Block volume</t>
  </si>
  <si>
    <t xml:space="preserve">Data disk</t>
  </si>
  <si>
    <t xml:space="preserve">cmr-prd-cas-blv-cbs-01</t>
  </si>
  <si>
    <t xml:space="preserve">vgp</t>
  </si>
  <si>
    <t xml:space="preserve">Volume group</t>
  </si>
  <si>
    <t xml:space="preserve">Volumes backed up or replicated together</t>
  </si>
  <si>
    <t xml:space="preserve">cmr-prd-cas-vgp-01</t>
  </si>
  <si>
    <t xml:space="preserve">bvp</t>
  </si>
  <si>
    <t xml:space="preserve">Volume backup policy</t>
  </si>
  <si>
    <t xml:space="preserve">Backup schedule for volumes</t>
  </si>
  <si>
    <t xml:space="preserve">cmr-prd-cas-bvp-01</t>
  </si>
  <si>
    <t xml:space="preserve">dvh</t>
  </si>
  <si>
    <t xml:space="preserve">Dedicated VM host</t>
  </si>
  <si>
    <t xml:space="preserve">Single-tenant host for VMs</t>
  </si>
  <si>
    <t xml:space="preserve">cmr-prd-cas-dvh-01</t>
  </si>
  <si>
    <t xml:space="preserve">crv</t>
  </si>
  <si>
    <t xml:space="preserve">Capacity reservation</t>
  </si>
  <si>
    <t xml:space="preserve">Reserved compute capacity</t>
  </si>
  <si>
    <t xml:space="preserve">cmr-prd-jnb-crv-01</t>
  </si>
  <si>
    <t xml:space="preserve">cin</t>
  </si>
  <si>
    <t xml:space="preserve">Container instance</t>
  </si>
  <si>
    <t xml:space="preserve">Serverless containers</t>
  </si>
  <si>
    <t xml:space="preserve">cmr-prd-cas-cin-01</t>
  </si>
  <si>
    <t xml:space="preserve">osm</t>
  </si>
  <si>
    <t xml:space="preserve">OS Management Hub profile</t>
  </si>
  <si>
    <t xml:space="preserve">Patch and package management profile</t>
  </si>
  <si>
    <t xml:space="preserve">cmr-prd-cas-osm-01</t>
  </si>
  <si>
    <t xml:space="preserve">oke</t>
  </si>
  <si>
    <t xml:space="preserve">OKE cluster</t>
  </si>
  <si>
    <t xml:space="preserve">Managed Kubernetes cluster</t>
  </si>
  <si>
    <t xml:space="preserve">cmr-prd-cas-oke-01</t>
  </si>
  <si>
    <t xml:space="preserve">onp</t>
  </si>
  <si>
    <t xml:space="preserve">Managed node pool</t>
  </si>
  <si>
    <t xml:space="preserve">Worker nodes you manage</t>
  </si>
  <si>
    <t xml:space="preserve">cmr-prd-cas-onp-pay-01</t>
  </si>
  <si>
    <t xml:space="preserve">vnp</t>
  </si>
  <si>
    <t xml:space="preserve">Virtual node pool</t>
  </si>
  <si>
    <t xml:space="preserve">Serverless worker nodes</t>
  </si>
  <si>
    <t xml:space="preserve">cmr-prd-cas-vnp-pay-01</t>
  </si>
  <si>
    <t xml:space="preserve">adb</t>
  </si>
  <si>
    <t xml:space="preserve">Autonomous Database (serverless)</t>
  </si>
  <si>
    <t xml:space="preserve">Self-managing Oracle database</t>
  </si>
  <si>
    <t xml:space="preserve">atp, adw, ajd, apx</t>
  </si>
  <si>
    <t xml:space="preserve">cmr-prd-cas-adb-pay-atp-01</t>
  </si>
  <si>
    <t xml:space="preserve">avc</t>
  </si>
  <si>
    <t xml:space="preserve">Autonomous VM cluster</t>
  </si>
  <si>
    <t xml:space="preserve">Dedicated infrastructure for Autonomous DBs</t>
  </si>
  <si>
    <t xml:space="preserve">cmr-prd-cas-avc-01</t>
  </si>
  <si>
    <t xml:space="preserve">acd</t>
  </si>
  <si>
    <t xml:space="preserve">Autonomous container database</t>
  </si>
  <si>
    <t xml:space="preserve">Container for dedicated Autonomous DBs</t>
  </si>
  <si>
    <t xml:space="preserve">cmr-prd-cas-acd-01</t>
  </si>
  <si>
    <t xml:space="preserve">dbs</t>
  </si>
  <si>
    <t xml:space="preserve">Base Database DB system</t>
  </si>
  <si>
    <t xml:space="preserve">Oracle database on VM or bare metal</t>
  </si>
  <si>
    <t xml:space="preserve">si, rac</t>
  </si>
  <si>
    <t xml:space="preserve">cmr-prd-cas-dbs-cbs-rac-01</t>
  </si>
  <si>
    <t xml:space="preserve">dbh</t>
  </si>
  <si>
    <t xml:space="preserve">Database home</t>
  </si>
  <si>
    <t xml:space="preserve">Oracle software home</t>
  </si>
  <si>
    <t xml:space="preserve">cmr-prd-cas-dbh-01</t>
  </si>
  <si>
    <t xml:space="preserve">exi</t>
  </si>
  <si>
    <t xml:space="preserve">Exadata infrastructure</t>
  </si>
  <si>
    <t xml:space="preserve">Exadata hardware</t>
  </si>
  <si>
    <t xml:space="preserve">cmr-prd-cas-exi-01</t>
  </si>
  <si>
    <t xml:space="preserve">exc</t>
  </si>
  <si>
    <t xml:space="preserve">Exadata VM cluster</t>
  </si>
  <si>
    <t xml:space="preserve">VM cluster on Exadata</t>
  </si>
  <si>
    <t xml:space="preserve">cmr-prd-cas-exc-01</t>
  </si>
  <si>
    <t xml:space="preserve">mys</t>
  </si>
  <si>
    <t xml:space="preserve">MySQL HeatWave DB system</t>
  </si>
  <si>
    <t xml:space="preserve">Managed MySQL</t>
  </si>
  <si>
    <t xml:space="preserve">si, ha</t>
  </si>
  <si>
    <t xml:space="preserve">cmr-prd-cas-mys-pay-ha-01</t>
  </si>
  <si>
    <t xml:space="preserve">pgs</t>
  </si>
  <si>
    <t xml:space="preserve">OCI Database with PostgreSQL</t>
  </si>
  <si>
    <t xml:space="preserve">Managed PostgreSQL</t>
  </si>
  <si>
    <t xml:space="preserve">cmr-prd-cas-pgs-pay-ha-01</t>
  </si>
  <si>
    <t xml:space="preserve">nsq</t>
  </si>
  <si>
    <t xml:space="preserve">NoSQL table</t>
  </si>
  <si>
    <t xml:space="preserve">Managed NoSQL table (hyphens not allowed: use the Joined Name; verify)</t>
  </si>
  <si>
    <t xml:space="preserve">cmrprdcasnsqpay01</t>
  </si>
  <si>
    <t xml:space="preserve">ogg</t>
  </si>
  <si>
    <t xml:space="preserve">GoldenGate deployment</t>
  </si>
  <si>
    <t xml:space="preserve">Data replication</t>
  </si>
  <si>
    <t xml:space="preserve">cmr-prd-cas-ogg-01</t>
  </si>
  <si>
    <t xml:space="preserve">dsf</t>
  </si>
  <si>
    <t xml:space="preserve">Data Safe target</t>
  </si>
  <si>
    <t xml:space="preserve">Database registered in Data Safe</t>
  </si>
  <si>
    <t xml:space="preserve">cmr-prd-cas-dsf-01</t>
  </si>
  <si>
    <t xml:space="preserve">bkt</t>
  </si>
  <si>
    <t xml:space="preserve">Object Storage bucket</t>
  </si>
  <si>
    <t xml:space="preserve">Object container</t>
  </si>
  <si>
    <t xml:space="preserve">data, log, bkp, arc, exp, raw, cur, tfs, aud</t>
  </si>
  <si>
    <t xml:space="preserve">cmr-prd-cas-bkt-cbs-bkp-01</t>
  </si>
  <si>
    <t xml:space="preserve">fss</t>
  </si>
  <si>
    <t xml:space="preserve">File Storage file system</t>
  </si>
  <si>
    <t xml:space="preserve">NFS file system</t>
  </si>
  <si>
    <t xml:space="preserve">cmr-prd-cas-fss-01</t>
  </si>
  <si>
    <t xml:space="preserve">mnt</t>
  </si>
  <si>
    <t xml:space="preserve">File Storage mount target</t>
  </si>
  <si>
    <t xml:space="preserve">NFS endpoint</t>
  </si>
  <si>
    <t xml:space="preserve">cmr-prd-cas-mnt-01</t>
  </si>
  <si>
    <t xml:space="preserve">vlt</t>
  </si>
  <si>
    <t xml:space="preserve">Vault</t>
  </si>
  <si>
    <t xml:space="preserve">Container for keys and secrets</t>
  </si>
  <si>
    <t xml:space="preserve">cmr-prd-cas-vlt-01</t>
  </si>
  <si>
    <t xml:space="preserve">key</t>
  </si>
  <si>
    <t xml:space="preserve">Master encryption key</t>
  </si>
  <si>
    <t xml:space="preserve">Encryption key in a vault</t>
  </si>
  <si>
    <t xml:space="preserve">tde, bkt, blk, scrt, sgn, oke</t>
  </si>
  <si>
    <t xml:space="preserve">cmr-prd-cas-key-cbs-tde-01</t>
  </si>
  <si>
    <t xml:space="preserve">scrt</t>
  </si>
  <si>
    <t xml:space="preserve">Vault secret</t>
  </si>
  <si>
    <t xml:space="preserve">Password, token or key material</t>
  </si>
  <si>
    <t xml:space="preserve">dbc, api, ssh, tls, svc, wlt</t>
  </si>
  <si>
    <t xml:space="preserve">cmr-prd-cas-scrt-pay-dbc-01</t>
  </si>
  <si>
    <t xml:space="preserve">cert</t>
  </si>
  <si>
    <t xml:space="preserve">Certificate</t>
  </si>
  <si>
    <t xml:space="preserve">TLS certificate</t>
  </si>
  <si>
    <t xml:space="preserve">cmr-prd-cas-cert-01</t>
  </si>
  <si>
    <t xml:space="preserve">ca</t>
  </si>
  <si>
    <t xml:space="preserve">Certificate authority</t>
  </si>
  <si>
    <t xml:space="preserve">Private CA</t>
  </si>
  <si>
    <t xml:space="preserve">cmr-prd-cas-ca-01</t>
  </si>
  <si>
    <t xml:space="preserve">bst</t>
  </si>
  <si>
    <t xml:space="preserve">Bastion</t>
  </si>
  <si>
    <t xml:space="preserve">Managed SSH access (alphanumeric only: use the Joined Name)</t>
  </si>
  <si>
    <t xml:space="preserve">cmrprdcasbstcbs01</t>
  </si>
  <si>
    <t xml:space="preserve">waf</t>
  </si>
  <si>
    <t xml:space="preserve">WAF policy</t>
  </si>
  <si>
    <t xml:space="preserve">Web application firewall rules</t>
  </si>
  <si>
    <t xml:space="preserve">cmr-prd-cas-waf-cbs-ext-01</t>
  </si>
  <si>
    <t xml:space="preserve">vsr</t>
  </si>
  <si>
    <t xml:space="preserve">Vulnerability scanning recipe</t>
  </si>
  <si>
    <t xml:space="preserve">Scan configuration</t>
  </si>
  <si>
    <t xml:space="preserve">cmr-prd-cas-vsr-01</t>
  </si>
  <si>
    <t xml:space="preserve">apg</t>
  </si>
  <si>
    <t xml:space="preserve">API Gateway</t>
  </si>
  <si>
    <t xml:space="preserve">Managed API front end</t>
  </si>
  <si>
    <t xml:space="preserve">cmr-prd-cas-apg-pay-ext-01</t>
  </si>
  <si>
    <t xml:space="preserve">apd</t>
  </si>
  <si>
    <t xml:space="preserve">API deployment</t>
  </si>
  <si>
    <t xml:space="preserve">API definition on a gateway</t>
  </si>
  <si>
    <t xml:space="preserve">cmr-prd-cas-apd-01</t>
  </si>
  <si>
    <t xml:space="preserve">fna</t>
  </si>
  <si>
    <t xml:space="preserve">Functions application</t>
  </si>
  <si>
    <t xml:space="preserve">Container for functions</t>
  </si>
  <si>
    <t xml:space="preserve">cmr-prd-cas-fna-01</t>
  </si>
  <si>
    <t xml:space="preserve">fn</t>
  </si>
  <si>
    <t xml:space="preserve">Function</t>
  </si>
  <si>
    <t xml:space="preserve">Serverless function</t>
  </si>
  <si>
    <t xml:space="preserve">cmr-prd-cas-fn-01</t>
  </si>
  <si>
    <t xml:space="preserve">que</t>
  </si>
  <si>
    <t xml:space="preserve">Queue</t>
  </si>
  <si>
    <t xml:space="preserve">Message queue</t>
  </si>
  <si>
    <t xml:space="preserve">cmr-prd-cas-que-pay-01</t>
  </si>
  <si>
    <t xml:space="preserve">stp</t>
  </si>
  <si>
    <t xml:space="preserve">Stream pool</t>
  </si>
  <si>
    <t xml:space="preserve">Container for streams</t>
  </si>
  <si>
    <t xml:space="preserve">cmr-prd-cas-stp-01</t>
  </si>
  <si>
    <t xml:space="preserve">stm</t>
  </si>
  <si>
    <t xml:space="preserve">Stream</t>
  </si>
  <si>
    <t xml:space="preserve">Kafka-compatible stream</t>
  </si>
  <si>
    <t xml:space="preserve">cmr-prd-cas-stm-pay-01</t>
  </si>
  <si>
    <t xml:space="preserve">ons</t>
  </si>
  <si>
    <t xml:space="preserve">Notifications topic</t>
  </si>
  <si>
    <t xml:space="preserve">Alert / message topic</t>
  </si>
  <si>
    <t xml:space="preserve">cmr-prd-cas-ons-cbs-01</t>
  </si>
  <si>
    <t xml:space="preserve">evr</t>
  </si>
  <si>
    <t xml:space="preserve">Events rule</t>
  </si>
  <si>
    <t xml:space="preserve">Reacts to OCI events</t>
  </si>
  <si>
    <t xml:space="preserve">cmr-prd-cas-evr-01</t>
  </si>
  <si>
    <t xml:space="preserve">sch</t>
  </si>
  <si>
    <t xml:space="preserve">Connector Hub connector</t>
  </si>
  <si>
    <t xml:space="preserve">Moves logs, metrics, events</t>
  </si>
  <si>
    <t xml:space="preserve">cmr-prd-cas-sch-01</t>
  </si>
  <si>
    <t xml:space="preserve">oic</t>
  </si>
  <si>
    <t xml:space="preserve">Oracle Integration instance</t>
  </si>
  <si>
    <t xml:space="preserve">Integration platform</t>
  </si>
  <si>
    <t xml:space="preserve">cmr-prd-cas-oic-01</t>
  </si>
  <si>
    <t xml:space="preserve">lgg</t>
  </si>
  <si>
    <t xml:space="preserve">Log group</t>
  </si>
  <si>
    <t xml:space="preserve">Container for logs</t>
  </si>
  <si>
    <t xml:space="preserve">cmr-prd-cas-lgg-01</t>
  </si>
  <si>
    <t xml:space="preserve">log</t>
  </si>
  <si>
    <t xml:space="preserve">Log</t>
  </si>
  <si>
    <t xml:space="preserve">Service or custom log</t>
  </si>
  <si>
    <t xml:space="preserve">flow, lb, apg, fn, waf, os, app, oke, aud</t>
  </si>
  <si>
    <t xml:space="preserve">cmr-prd-cas-log-cbs-flow-01</t>
  </si>
  <si>
    <t xml:space="preserve">alm</t>
  </si>
  <si>
    <t xml:space="preserve">Alarm</t>
  </si>
  <si>
    <t xml:space="preserve">Monitoring alarm</t>
  </si>
  <si>
    <t xml:space="preserve">cpu, mem, dsk, lat, err, avl, cap, lag</t>
  </si>
  <si>
    <t xml:space="preserve">cmr-prd-cas-alm-pay-lat-01</t>
  </si>
  <si>
    <t xml:space="preserve">dsh</t>
  </si>
  <si>
    <t xml:space="preserve">Dashboard</t>
  </si>
  <si>
    <t xml:space="preserve">Monitoring dashboard</t>
  </si>
  <si>
    <t xml:space="preserve">cmr-prd-cas-dsh-01</t>
  </si>
  <si>
    <t xml:space="preserve">apm</t>
  </si>
  <si>
    <t xml:space="preserve">APM domain</t>
  </si>
  <si>
    <t xml:space="preserve">Application performance monitoring</t>
  </si>
  <si>
    <t xml:space="preserve">cmr-prd-cas-apm-01</t>
  </si>
  <si>
    <t xml:space="preserve">hck</t>
  </si>
  <si>
    <t xml:space="preserve">Health check</t>
  </si>
  <si>
    <t xml:space="preserve">HTTP / ping monitor</t>
  </si>
  <si>
    <t xml:space="preserve">cmr-prd-cas-hck-01</t>
  </si>
  <si>
    <t xml:space="preserve">lga</t>
  </si>
  <si>
    <t xml:space="preserve">Logging Analytics log group</t>
  </si>
  <si>
    <t xml:space="preserve">Log analytics container</t>
  </si>
  <si>
    <t xml:space="preserve">cmr-prd-cas-lga-01</t>
  </si>
  <si>
    <t xml:space="preserve">dis</t>
  </si>
  <si>
    <t xml:space="preserve">Data Integration workspace</t>
  </si>
  <si>
    <t xml:space="preserve">ETL workspace</t>
  </si>
  <si>
    <t xml:space="preserve">cmr-prd-cas-dis-01</t>
  </si>
  <si>
    <t xml:space="preserve">dfa</t>
  </si>
  <si>
    <t xml:space="preserve">Data Flow application</t>
  </si>
  <si>
    <t xml:space="preserve">Spark application</t>
  </si>
  <si>
    <t xml:space="preserve">cmr-prd-cas-dfa-01</t>
  </si>
  <si>
    <t xml:space="preserve">dfp</t>
  </si>
  <si>
    <t xml:space="preserve">Data Flow pool</t>
  </si>
  <si>
    <t xml:space="preserve">Pre-warmed Spark capacity</t>
  </si>
  <si>
    <t xml:space="preserve">cmr-prd-cas-dfp-01</t>
  </si>
  <si>
    <t xml:space="preserve">dsp</t>
  </si>
  <si>
    <t xml:space="preserve">Data Science project</t>
  </si>
  <si>
    <t xml:space="preserve">Container for ML work</t>
  </si>
  <si>
    <t xml:space="preserve">cmr-prd-cas-dsp-01</t>
  </si>
  <si>
    <t xml:space="preserve">dsn</t>
  </si>
  <si>
    <t xml:space="preserve">Data Science notebook session</t>
  </si>
  <si>
    <t xml:space="preserve">Notebook environment</t>
  </si>
  <si>
    <t xml:space="preserve">cmr-dev-cas-dsn-01</t>
  </si>
  <si>
    <t xml:space="preserve">dsm</t>
  </si>
  <si>
    <t xml:space="preserve">Data Science model deployment</t>
  </si>
  <si>
    <t xml:space="preserve">Deployed ML model</t>
  </si>
  <si>
    <t xml:space="preserve">cmr-prd-cas-dsm-01</t>
  </si>
  <si>
    <t xml:space="preserve">oac</t>
  </si>
  <si>
    <t xml:space="preserve">Analytics Cloud instance</t>
  </si>
  <si>
    <t xml:space="preserve">BI and dashboards</t>
  </si>
  <si>
    <t xml:space="preserve">cmr-prd-cas-oac-01</t>
  </si>
  <si>
    <t xml:space="preserve">dct</t>
  </si>
  <si>
    <t xml:space="preserve">Data Catalog</t>
  </si>
  <si>
    <t xml:space="preserve">Metadata catalogue</t>
  </si>
  <si>
    <t xml:space="preserve">cmr-prd-cas-dct-01</t>
  </si>
  <si>
    <t xml:space="preserve">bds</t>
  </si>
  <si>
    <t xml:space="preserve">Big Data Service cluster</t>
  </si>
  <si>
    <t xml:space="preserve">Hadoop / Spark cluster</t>
  </si>
  <si>
    <t xml:space="preserve">cmr-prd-cas-bds-01</t>
  </si>
  <si>
    <t xml:space="preserve">dop</t>
  </si>
  <si>
    <t xml:space="preserve">DevOps project</t>
  </si>
  <si>
    <t xml:space="preserve">CI/CD project</t>
  </si>
  <si>
    <t xml:space="preserve">cmr-prd-cas-dop-01</t>
  </si>
  <si>
    <t xml:space="preserve">bpl</t>
  </si>
  <si>
    <t xml:space="preserve">Build pipeline</t>
  </si>
  <si>
    <t xml:space="preserve">Build stages</t>
  </si>
  <si>
    <t xml:space="preserve">cmr-prd-cas-bpl-01</t>
  </si>
  <si>
    <t xml:space="preserve">dpl</t>
  </si>
  <si>
    <t xml:space="preserve">Deployment pipeline</t>
  </si>
  <si>
    <t xml:space="preserve">Deployment stages</t>
  </si>
  <si>
    <t xml:space="preserve">cmr-prd-cas-dpl-01</t>
  </si>
  <si>
    <t xml:space="preserve">crp</t>
  </si>
  <si>
    <t xml:space="preserve">Code repository</t>
  </si>
  <si>
    <t xml:space="preserve">Git repository</t>
  </si>
  <si>
    <t xml:space="preserve">cmr-prd-cas-crp-01</t>
  </si>
  <si>
    <t xml:space="preserve">arp</t>
  </si>
  <si>
    <t xml:space="preserve">Artifact repository</t>
  </si>
  <si>
    <t xml:space="preserve">Build artefacts</t>
  </si>
  <si>
    <t xml:space="preserve">cmr-prd-cas-arp-01</t>
  </si>
  <si>
    <t xml:space="preserve">stk</t>
  </si>
  <si>
    <t xml:space="preserve">Resource Manager stack</t>
  </si>
  <si>
    <t xml:space="preserve">Terraform stack in OCI</t>
  </si>
  <si>
    <t xml:space="preserve">cmr-prd-cas-stk-01</t>
  </si>
  <si>
    <t xml:space="preserve">dpg</t>
  </si>
  <si>
    <t xml:space="preserve">Full Stack DR protection group</t>
  </si>
  <si>
    <t xml:space="preserve">Set of resources failed over together</t>
  </si>
  <si>
    <t xml:space="preserve">cmr-prd-cas-dpg-01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</si>
</sst>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name val="Consolas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Consolas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597"/>
        <bgColor rgb="FF1F3864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F5597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E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f aca="false">COUNTIF('Resource Types'!$A$5:$A$113,A5)</f>
        <v>8</v>
      </c>
      <c r="C5" s="5" t="n">
        <f aca="false">COUNTIFS('Resource Types'!$A$5:$A$113,A5,'Resource Types'!$G$5:$G$113,"Required")</f>
        <v>3</v>
      </c>
      <c r="D5" s="5" t="n">
        <f aca="false">B5-C5</f>
        <v>5</v>
      </c>
      <c r="E5" s="5" t="n">
        <f aca="false">COUNTIFS('Resource Types'!$A$5:$A$113,A5,'Resource Types'!$E$5:$E$113,"Global")</f>
        <v>8</v>
      </c>
    </row>
    <row r="6" customFormat="false" ht="15" hidden="false" customHeight="false" outlineLevel="0" collapsed="false">
      <c r="A6" s="4" t="s">
        <v>8</v>
      </c>
      <c r="B6" s="5" t="n">
        <f aca="false">COUNTIF('Resource Types'!$A$5:$A$113,A6)</f>
        <v>26</v>
      </c>
      <c r="C6" s="5" t="n">
        <f aca="false">COUNTIFS('Resource Types'!$A$5:$A$113,A6,'Resource Types'!$G$5:$G$113,"Required")</f>
        <v>8</v>
      </c>
      <c r="D6" s="5" t="n">
        <f aca="false">B6-C6</f>
        <v>18</v>
      </c>
      <c r="E6" s="5" t="n">
        <f aca="false">COUNTIFS('Resource Types'!$A$5:$A$113,A6,'Resource Types'!$E$5:$E$113,"Global")</f>
        <v>0</v>
      </c>
    </row>
    <row r="7" customFormat="false" ht="15" hidden="false" customHeight="false" outlineLevel="0" collapsed="false">
      <c r="A7" s="4" t="s">
        <v>9</v>
      </c>
      <c r="B7" s="5" t="n">
        <f aca="false">COUNTIF('Resource Types'!$A$5:$A$113,A7)</f>
        <v>15</v>
      </c>
      <c r="C7" s="5" t="n">
        <f aca="false">COUNTIFS('Resource Types'!$A$5:$A$113,A7,'Resource Types'!$G$5:$G$113,"Required")</f>
        <v>5</v>
      </c>
      <c r="D7" s="5" t="n">
        <f aca="false">B7-C7</f>
        <v>10</v>
      </c>
      <c r="E7" s="5" t="n">
        <f aca="false">COUNTIFS('Resource Types'!$A$5:$A$113,A7,'Resource Types'!$E$5:$E$113,"Global")</f>
        <v>0</v>
      </c>
    </row>
    <row r="8" customFormat="false" ht="15" hidden="false" customHeight="false" outlineLevel="0" collapsed="false">
      <c r="A8" s="4" t="s">
        <v>10</v>
      </c>
      <c r="B8" s="5" t="n">
        <f aca="false">COUNTIF('Resource Types'!$A$5:$A$113,A8)</f>
        <v>3</v>
      </c>
      <c r="C8" s="5" t="n">
        <f aca="false">COUNTIFS('Resource Types'!$A$5:$A$113,A8,'Resource Types'!$G$5:$G$113,"Required")</f>
        <v>0</v>
      </c>
      <c r="D8" s="5" t="n">
        <f aca="false">B8-C8</f>
        <v>3</v>
      </c>
      <c r="E8" s="5" t="n">
        <f aca="false">COUNTIFS('Resource Types'!$A$5:$A$113,A8,'Resource Types'!$E$5:$E$113,"Global")</f>
        <v>0</v>
      </c>
    </row>
    <row r="9" customFormat="false" ht="15" hidden="false" customHeight="false" outlineLevel="0" collapsed="false">
      <c r="A9" s="4" t="s">
        <v>11</v>
      </c>
      <c r="B9" s="5" t="n">
        <f aca="false">COUNTIF('Resource Types'!$A$5:$A$113,A9)</f>
        <v>12</v>
      </c>
      <c r="C9" s="5" t="n">
        <f aca="false">COUNTIFS('Resource Types'!$A$5:$A$113,A9,'Resource Types'!$G$5:$G$113,"Required")</f>
        <v>4</v>
      </c>
      <c r="D9" s="5" t="n">
        <f aca="false">B9-C9</f>
        <v>8</v>
      </c>
      <c r="E9" s="5" t="n">
        <f aca="false">COUNTIFS('Resource Types'!$A$5:$A$113,A9,'Resource Types'!$E$5:$E$113,"Global")</f>
        <v>0</v>
      </c>
    </row>
    <row r="10" customFormat="false" ht="15" hidden="false" customHeight="false" outlineLevel="0" collapsed="false">
      <c r="A10" s="4" t="s">
        <v>12</v>
      </c>
      <c r="B10" s="5" t="n">
        <f aca="false">COUNTIF('Resource Types'!$A$5:$A$113,A10)</f>
        <v>3</v>
      </c>
      <c r="C10" s="5" t="n">
        <f aca="false">COUNTIFS('Resource Types'!$A$5:$A$113,A10,'Resource Types'!$G$5:$G$113,"Required")</f>
        <v>1</v>
      </c>
      <c r="D10" s="5" t="n">
        <f aca="false">B10-C10</f>
        <v>2</v>
      </c>
      <c r="E10" s="5" t="n">
        <f aca="false">COUNTIFS('Resource Types'!$A$5:$A$113,A10,'Resource Types'!$E$5:$E$113,"Global")</f>
        <v>0</v>
      </c>
    </row>
    <row r="11" customFormat="false" ht="15" hidden="false" customHeight="false" outlineLevel="0" collapsed="false">
      <c r="A11" s="4" t="s">
        <v>13</v>
      </c>
      <c r="B11" s="5" t="n">
        <f aca="false">COUNTIF('Resource Types'!$A$5:$A$113,A11)</f>
        <v>8</v>
      </c>
      <c r="C11" s="5" t="n">
        <f aca="false">COUNTIFS('Resource Types'!$A$5:$A$113,A11,'Resource Types'!$G$5:$G$113,"Required")</f>
        <v>3</v>
      </c>
      <c r="D11" s="5" t="n">
        <f aca="false">B11-C11</f>
        <v>5</v>
      </c>
      <c r="E11" s="5" t="n">
        <f aca="false">COUNTIFS('Resource Types'!$A$5:$A$113,A11,'Resource Types'!$E$5:$E$113,"Global")</f>
        <v>0</v>
      </c>
    </row>
    <row r="12" customFormat="false" ht="23.85" hidden="false" customHeight="false" outlineLevel="0" collapsed="false">
      <c r="A12" s="4" t="s">
        <v>14</v>
      </c>
      <c r="B12" s="5" t="n">
        <f aca="false">COUNTIF('Resource Types'!$A$5:$A$113,A12)</f>
        <v>11</v>
      </c>
      <c r="C12" s="5" t="n">
        <f aca="false">COUNTIFS('Resource Types'!$A$5:$A$113,A12,'Resource Types'!$G$5:$G$113,"Required")</f>
        <v>1</v>
      </c>
      <c r="D12" s="5" t="n">
        <f aca="false">B12-C12</f>
        <v>10</v>
      </c>
      <c r="E12" s="5" t="n">
        <f aca="false">COUNTIFS('Resource Types'!$A$5:$A$113,A12,'Resource Types'!$E$5:$E$113,"Global")</f>
        <v>0</v>
      </c>
    </row>
    <row r="13" customFormat="false" ht="15" hidden="false" customHeight="false" outlineLevel="0" collapsed="false">
      <c r="A13" s="4" t="s">
        <v>15</v>
      </c>
      <c r="B13" s="5" t="n">
        <f aca="false">COUNTIF('Resource Types'!$A$5:$A$113,A13)</f>
        <v>7</v>
      </c>
      <c r="C13" s="5" t="n">
        <f aca="false">COUNTIFS('Resource Types'!$A$5:$A$113,A13,'Resource Types'!$G$5:$G$113,"Required")</f>
        <v>2</v>
      </c>
      <c r="D13" s="5" t="n">
        <f aca="false">B13-C13</f>
        <v>5</v>
      </c>
      <c r="E13" s="5" t="n">
        <f aca="false">COUNTIFS('Resource Types'!$A$5:$A$113,A13,'Resource Types'!$E$5:$E$113,"Global")</f>
        <v>0</v>
      </c>
    </row>
    <row r="14" customFormat="false" ht="15" hidden="false" customHeight="false" outlineLevel="0" collapsed="false">
      <c r="A14" s="4" t="s">
        <v>16</v>
      </c>
      <c r="B14" s="5" t="n">
        <f aca="false">COUNTIF('Resource Types'!$A$5:$A$113,A14)</f>
        <v>9</v>
      </c>
      <c r="C14" s="5" t="n">
        <f aca="false">COUNTIFS('Resource Types'!$A$5:$A$113,A14,'Resource Types'!$G$5:$G$113,"Required")</f>
        <v>0</v>
      </c>
      <c r="D14" s="5" t="n">
        <f aca="false">B14-C14</f>
        <v>9</v>
      </c>
      <c r="E14" s="5" t="n">
        <f aca="false">COUNTIFS('Resource Types'!$A$5:$A$113,A14,'Resource Types'!$E$5:$E$113,"Global")</f>
        <v>0</v>
      </c>
    </row>
    <row r="15" customFormat="false" ht="15" hidden="false" customHeight="false" outlineLevel="0" collapsed="false">
      <c r="A15" s="4" t="s">
        <v>17</v>
      </c>
      <c r="B15" s="5" t="n">
        <f aca="false">COUNTIF('Resource Types'!$A$5:$A$113,A15)</f>
        <v>7</v>
      </c>
      <c r="C15" s="5" t="n">
        <f aca="false">COUNTIFS('Resource Types'!$A$5:$A$113,A15,'Resource Types'!$G$5:$G$113,"Required")</f>
        <v>0</v>
      </c>
      <c r="D15" s="5" t="n">
        <f aca="false">B15-C15</f>
        <v>7</v>
      </c>
      <c r="E15" s="5" t="n">
        <f aca="false">COUNTIFS('Resource Types'!$A$5:$A$113,A15,'Resource Types'!$E$5:$E$113,"Global")</f>
        <v>0</v>
      </c>
    </row>
    <row r="16" customFormat="false" ht="15" hidden="false" customHeight="false" outlineLevel="0" collapsed="false">
      <c r="A16" s="6" t="s">
        <v>18</v>
      </c>
      <c r="B16" s="6" t="n">
        <f aca="false">SUM(B5:B15)</f>
        <v>109</v>
      </c>
      <c r="C16" s="6" t="n">
        <f aca="false">SUM(C5:C15)</f>
        <v>27</v>
      </c>
      <c r="D16" s="6" t="n">
        <f aca="false">SUM(D5:D15)</f>
        <v>82</v>
      </c>
      <c r="E16" s="6" t="n">
        <f aca="false">SUM(E5:E15)</f>
        <v>8</v>
      </c>
    </row>
    <row r="18" customFormat="false" ht="15" hidden="false" customHeight="false" outlineLevel="0" collapsed="false">
      <c r="A18" s="7" t="s">
        <v>19</v>
      </c>
    </row>
    <row r="19" customFormat="false" ht="15" hidden="false" customHeight="true" outlineLevel="0" collapsed="false">
      <c r="A19" s="6" t="s">
        <v>19</v>
      </c>
      <c r="B19" s="8" t="s">
        <v>20</v>
      </c>
      <c r="C19" s="8"/>
      <c r="D19" s="8"/>
      <c r="E19" s="8"/>
    </row>
    <row r="20" customFormat="false" ht="15" hidden="false" customHeight="true" outlineLevel="0" collapsed="false">
      <c r="A20" s="6" t="s">
        <v>21</v>
      </c>
      <c r="B20" s="8" t="s">
        <v>22</v>
      </c>
      <c r="C20" s="8"/>
      <c r="D20" s="8"/>
      <c r="E20" s="8"/>
    </row>
    <row r="21" customFormat="false" ht="15" hidden="false" customHeight="true" outlineLevel="0" collapsed="false">
      <c r="A21" s="6" t="s">
        <v>23</v>
      </c>
      <c r="B21" s="8" t="s">
        <v>24</v>
      </c>
      <c r="C21" s="8"/>
      <c r="D21" s="8"/>
      <c r="E21" s="8"/>
    </row>
    <row r="22" customFormat="false" ht="15" hidden="false" customHeight="true" outlineLevel="0" collapsed="false">
      <c r="A22" s="6" t="s">
        <v>25</v>
      </c>
      <c r="B22" s="8" t="s">
        <v>26</v>
      </c>
      <c r="C22" s="8"/>
      <c r="D22" s="8"/>
      <c r="E22" s="8"/>
    </row>
    <row r="23" customFormat="false" ht="15" hidden="false" customHeight="true" outlineLevel="0" collapsed="false">
      <c r="A23" s="6" t="s">
        <v>27</v>
      </c>
      <c r="B23" s="8" t="s">
        <v>28</v>
      </c>
      <c r="C23" s="8"/>
      <c r="D23" s="8"/>
      <c r="E23" s="8"/>
    </row>
    <row r="25" customFormat="false" ht="15" hidden="false" customHeight="false" outlineLevel="0" collapsed="false">
      <c r="A25" s="9" t="s">
        <v>29</v>
      </c>
    </row>
  </sheetData>
  <mergeCells count="5">
    <mergeCell ref="B19:E19"/>
    <mergeCell ref="B20:E20"/>
    <mergeCell ref="B21:E21"/>
    <mergeCell ref="B22:E22"/>
    <mergeCell ref="B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I1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44"/>
    <col collapsed="false" customWidth="true" hidden="false" outlineLevel="0" max="9" min="9" style="0" width="36"/>
  </cols>
  <sheetData>
    <row r="1" customFormat="false" ht="19.7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31</v>
      </c>
    </row>
    <row r="4" customFormat="false" ht="21.75" hidden="false" customHeight="true" outlineLevel="0" collapsed="false">
      <c r="A4" s="3" t="s">
        <v>2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38</v>
      </c>
      <c r="I4" s="3" t="s">
        <v>39</v>
      </c>
    </row>
    <row r="5" customFormat="false" ht="15" hidden="false" customHeight="false" outlineLevel="0" collapsed="false">
      <c r="A5" s="10" t="s">
        <v>7</v>
      </c>
      <c r="B5" s="11" t="s">
        <v>40</v>
      </c>
      <c r="C5" s="10" t="s">
        <v>41</v>
      </c>
      <c r="D5" s="10" t="s">
        <v>42</v>
      </c>
      <c r="E5" s="10" t="s">
        <v>43</v>
      </c>
      <c r="F5" s="10" t="str">
        <f aca="false">IF(E5="Global","No","Yes (cas/jnb)")</f>
        <v>No</v>
      </c>
      <c r="G5" s="12" t="s">
        <v>44</v>
      </c>
      <c r="H5" s="13" t="s">
        <v>45</v>
      </c>
      <c r="I5" s="14" t="s">
        <v>46</v>
      </c>
    </row>
    <row r="6" customFormat="false" ht="15" hidden="false" customHeight="false" outlineLevel="0" collapsed="false">
      <c r="A6" s="10" t="s">
        <v>7</v>
      </c>
      <c r="B6" s="11" t="s">
        <v>47</v>
      </c>
      <c r="C6" s="10" t="s">
        <v>48</v>
      </c>
      <c r="D6" s="10" t="s">
        <v>49</v>
      </c>
      <c r="E6" s="10" t="s">
        <v>43</v>
      </c>
      <c r="F6" s="10" t="str">
        <f aca="false">IF(E6="Global","No","Yes (cas/jnb)")</f>
        <v>No</v>
      </c>
      <c r="G6" s="12" t="s">
        <v>44</v>
      </c>
      <c r="H6" s="13" t="s">
        <v>45</v>
      </c>
      <c r="I6" s="14" t="s">
        <v>50</v>
      </c>
    </row>
    <row r="7" customFormat="false" ht="15" hidden="false" customHeight="false" outlineLevel="0" collapsed="false">
      <c r="A7" s="10" t="s">
        <v>7</v>
      </c>
      <c r="B7" s="11" t="s">
        <v>51</v>
      </c>
      <c r="C7" s="10" t="s">
        <v>52</v>
      </c>
      <c r="D7" s="10" t="s">
        <v>53</v>
      </c>
      <c r="E7" s="10" t="s">
        <v>43</v>
      </c>
      <c r="F7" s="10" t="str">
        <f aca="false">IF(E7="Global","No","Yes (cas/jnb)")</f>
        <v>No</v>
      </c>
      <c r="G7" s="12" t="s">
        <v>44</v>
      </c>
      <c r="H7" s="13" t="s">
        <v>54</v>
      </c>
      <c r="I7" s="14" t="s">
        <v>55</v>
      </c>
    </row>
    <row r="8" customFormat="false" ht="15" hidden="false" customHeight="false" outlineLevel="0" collapsed="false">
      <c r="A8" s="10" t="s">
        <v>7</v>
      </c>
      <c r="B8" s="11" t="s">
        <v>56</v>
      </c>
      <c r="C8" s="10" t="s">
        <v>57</v>
      </c>
      <c r="D8" s="10" t="s">
        <v>58</v>
      </c>
      <c r="E8" s="10" t="s">
        <v>43</v>
      </c>
      <c r="F8" s="10" t="str">
        <f aca="false">IF(E8="Global","No","Yes (cas/jnb)")</f>
        <v>No</v>
      </c>
      <c r="G8" s="10" t="s">
        <v>59</v>
      </c>
      <c r="H8" s="15" t="s">
        <v>60</v>
      </c>
      <c r="I8" s="14" t="s">
        <v>61</v>
      </c>
    </row>
    <row r="9" customFormat="false" ht="15" hidden="false" customHeight="false" outlineLevel="0" collapsed="false">
      <c r="A9" s="10" t="s">
        <v>7</v>
      </c>
      <c r="B9" s="11" t="s">
        <v>62</v>
      </c>
      <c r="C9" s="10" t="s">
        <v>63</v>
      </c>
      <c r="D9" s="10" t="s">
        <v>64</v>
      </c>
      <c r="E9" s="10" t="s">
        <v>43</v>
      </c>
      <c r="F9" s="10" t="str">
        <f aca="false">IF(E9="Global","No","Yes (cas/jnb)")</f>
        <v>No</v>
      </c>
      <c r="G9" s="10" t="s">
        <v>59</v>
      </c>
      <c r="H9" s="15" t="s">
        <v>60</v>
      </c>
      <c r="I9" s="14" t="s">
        <v>65</v>
      </c>
    </row>
    <row r="10" customFormat="false" ht="15" hidden="false" customHeight="false" outlineLevel="0" collapsed="false">
      <c r="A10" s="10" t="s">
        <v>7</v>
      </c>
      <c r="B10" s="11" t="s">
        <v>66</v>
      </c>
      <c r="C10" s="10" t="s">
        <v>67</v>
      </c>
      <c r="D10" s="10" t="s">
        <v>68</v>
      </c>
      <c r="E10" s="10" t="s">
        <v>43</v>
      </c>
      <c r="F10" s="10" t="str">
        <f aca="false">IF(E10="Global","No","Yes (cas/jnb)")</f>
        <v>No</v>
      </c>
      <c r="G10" s="10" t="s">
        <v>59</v>
      </c>
      <c r="H10" s="15" t="s">
        <v>60</v>
      </c>
      <c r="I10" s="14" t="s">
        <v>69</v>
      </c>
    </row>
    <row r="11" customFormat="false" ht="15" hidden="false" customHeight="false" outlineLevel="0" collapsed="false">
      <c r="A11" s="10" t="s">
        <v>7</v>
      </c>
      <c r="B11" s="11" t="s">
        <v>70</v>
      </c>
      <c r="C11" s="10" t="s">
        <v>71</v>
      </c>
      <c r="D11" s="10" t="s">
        <v>72</v>
      </c>
      <c r="E11" s="10" t="s">
        <v>43</v>
      </c>
      <c r="F11" s="10" t="str">
        <f aca="false">IF(E11="Global","No","Yes (cas/jnb)")</f>
        <v>No</v>
      </c>
      <c r="G11" s="10" t="s">
        <v>59</v>
      </c>
      <c r="H11" s="15" t="s">
        <v>60</v>
      </c>
      <c r="I11" s="14" t="s">
        <v>73</v>
      </c>
    </row>
    <row r="12" customFormat="false" ht="15" hidden="false" customHeight="false" outlineLevel="0" collapsed="false">
      <c r="A12" s="10" t="s">
        <v>7</v>
      </c>
      <c r="B12" s="11" t="s">
        <v>74</v>
      </c>
      <c r="C12" s="10" t="s">
        <v>75</v>
      </c>
      <c r="D12" s="10" t="s">
        <v>76</v>
      </c>
      <c r="E12" s="10" t="s">
        <v>43</v>
      </c>
      <c r="F12" s="10" t="str">
        <f aca="false">IF(E12="Global","No","Yes (cas/jnb)")</f>
        <v>No</v>
      </c>
      <c r="G12" s="10" t="s">
        <v>59</v>
      </c>
      <c r="H12" s="15" t="s">
        <v>60</v>
      </c>
      <c r="I12" s="14" t="s">
        <v>77</v>
      </c>
    </row>
    <row r="13" customFormat="false" ht="15" hidden="false" customHeight="false" outlineLevel="0" collapsed="false">
      <c r="A13" s="5" t="s">
        <v>8</v>
      </c>
      <c r="B13" s="16" t="s">
        <v>78</v>
      </c>
      <c r="C13" s="5" t="s">
        <v>79</v>
      </c>
      <c r="D13" s="5" t="s">
        <v>80</v>
      </c>
      <c r="E13" s="5" t="s">
        <v>81</v>
      </c>
      <c r="F13" s="5" t="str">
        <f aca="false">IF(E13="Global","No","Yes (cas/jnb)")</f>
        <v>Yes (cas/jnb)</v>
      </c>
      <c r="G13" s="5" t="s">
        <v>59</v>
      </c>
      <c r="H13" s="8" t="s">
        <v>60</v>
      </c>
      <c r="I13" s="17" t="s">
        <v>82</v>
      </c>
    </row>
    <row r="14" customFormat="false" ht="23.85" hidden="false" customHeight="false" outlineLevel="0" collapsed="false">
      <c r="A14" s="5" t="s">
        <v>8</v>
      </c>
      <c r="B14" s="16" t="s">
        <v>83</v>
      </c>
      <c r="C14" s="5" t="s">
        <v>84</v>
      </c>
      <c r="D14" s="5" t="s">
        <v>85</v>
      </c>
      <c r="E14" s="5" t="s">
        <v>81</v>
      </c>
      <c r="F14" s="5" t="str">
        <f aca="false">IF(E14="Global","No","Yes (cas/jnb)")</f>
        <v>Yes (cas/jnb)</v>
      </c>
      <c r="G14" s="12" t="s">
        <v>44</v>
      </c>
      <c r="H14" s="13" t="s">
        <v>86</v>
      </c>
      <c r="I14" s="17" t="s">
        <v>87</v>
      </c>
    </row>
    <row r="15" customFormat="false" ht="23.85" hidden="false" customHeight="false" outlineLevel="0" collapsed="false">
      <c r="A15" s="5" t="s">
        <v>8</v>
      </c>
      <c r="B15" s="16" t="s">
        <v>88</v>
      </c>
      <c r="C15" s="5" t="s">
        <v>89</v>
      </c>
      <c r="D15" s="5" t="s">
        <v>90</v>
      </c>
      <c r="E15" s="5" t="s">
        <v>81</v>
      </c>
      <c r="F15" s="5" t="str">
        <f aca="false">IF(E15="Global","No","Yes (cas/jnb)")</f>
        <v>Yes (cas/jnb)</v>
      </c>
      <c r="G15" s="12" t="s">
        <v>44</v>
      </c>
      <c r="H15" s="13" t="s">
        <v>86</v>
      </c>
      <c r="I15" s="17" t="s">
        <v>91</v>
      </c>
    </row>
    <row r="16" customFormat="false" ht="23.85" hidden="false" customHeight="false" outlineLevel="0" collapsed="false">
      <c r="A16" s="5" t="s">
        <v>8</v>
      </c>
      <c r="B16" s="16" t="s">
        <v>92</v>
      </c>
      <c r="C16" s="5" t="s">
        <v>93</v>
      </c>
      <c r="D16" s="5" t="s">
        <v>94</v>
      </c>
      <c r="E16" s="5" t="s">
        <v>81</v>
      </c>
      <c r="F16" s="5" t="str">
        <f aca="false">IF(E16="Global","No","Yes (cas/jnb)")</f>
        <v>Yes (cas/jnb)</v>
      </c>
      <c r="G16" s="12" t="s">
        <v>44</v>
      </c>
      <c r="H16" s="13" t="s">
        <v>86</v>
      </c>
      <c r="I16" s="17" t="s">
        <v>95</v>
      </c>
    </row>
    <row r="17" customFormat="false" ht="23.85" hidden="false" customHeight="false" outlineLevel="0" collapsed="false">
      <c r="A17" s="5" t="s">
        <v>8</v>
      </c>
      <c r="B17" s="16" t="s">
        <v>96</v>
      </c>
      <c r="C17" s="5" t="s">
        <v>97</v>
      </c>
      <c r="D17" s="5" t="s">
        <v>98</v>
      </c>
      <c r="E17" s="5" t="s">
        <v>81</v>
      </c>
      <c r="F17" s="5" t="str">
        <f aca="false">IF(E17="Global","No","Yes (cas/jnb)")</f>
        <v>Yes (cas/jnb)</v>
      </c>
      <c r="G17" s="12" t="s">
        <v>44</v>
      </c>
      <c r="H17" s="13" t="s">
        <v>99</v>
      </c>
      <c r="I17" s="17" t="s">
        <v>100</v>
      </c>
    </row>
    <row r="18" customFormat="false" ht="15" hidden="false" customHeight="false" outlineLevel="0" collapsed="false">
      <c r="A18" s="5" t="s">
        <v>8</v>
      </c>
      <c r="B18" s="16" t="s">
        <v>101</v>
      </c>
      <c r="C18" s="5" t="s">
        <v>102</v>
      </c>
      <c r="D18" s="5" t="s">
        <v>103</v>
      </c>
      <c r="E18" s="5" t="s">
        <v>81</v>
      </c>
      <c r="F18" s="5" t="str">
        <f aca="false">IF(E18="Global","No","Yes (cas/jnb)")</f>
        <v>Yes (cas/jnb)</v>
      </c>
      <c r="G18" s="5" t="s">
        <v>59</v>
      </c>
      <c r="H18" s="8" t="s">
        <v>60</v>
      </c>
      <c r="I18" s="17" t="s">
        <v>104</v>
      </c>
    </row>
    <row r="19" customFormat="false" ht="15" hidden="false" customHeight="false" outlineLevel="0" collapsed="false">
      <c r="A19" s="5" t="s">
        <v>8</v>
      </c>
      <c r="B19" s="16" t="s">
        <v>105</v>
      </c>
      <c r="C19" s="5" t="s">
        <v>106</v>
      </c>
      <c r="D19" s="5" t="s">
        <v>107</v>
      </c>
      <c r="E19" s="5" t="s">
        <v>81</v>
      </c>
      <c r="F19" s="5" t="str">
        <f aca="false">IF(E19="Global","No","Yes (cas/jnb)")</f>
        <v>Yes (cas/jnb)</v>
      </c>
      <c r="G19" s="5" t="s">
        <v>59</v>
      </c>
      <c r="H19" s="8" t="s">
        <v>60</v>
      </c>
      <c r="I19" s="17" t="s">
        <v>108</v>
      </c>
    </row>
    <row r="20" customFormat="false" ht="15" hidden="false" customHeight="false" outlineLevel="0" collapsed="false">
      <c r="A20" s="5" t="s">
        <v>8</v>
      </c>
      <c r="B20" s="16" t="s">
        <v>109</v>
      </c>
      <c r="C20" s="5" t="s">
        <v>110</v>
      </c>
      <c r="D20" s="5" t="s">
        <v>111</v>
      </c>
      <c r="E20" s="5" t="s">
        <v>81</v>
      </c>
      <c r="F20" s="5" t="str">
        <f aca="false">IF(E20="Global","No","Yes (cas/jnb)")</f>
        <v>Yes (cas/jnb)</v>
      </c>
      <c r="G20" s="12" t="s">
        <v>44</v>
      </c>
      <c r="H20" s="13" t="s">
        <v>112</v>
      </c>
      <c r="I20" s="17" t="s">
        <v>113</v>
      </c>
    </row>
    <row r="21" customFormat="false" ht="15" hidden="false" customHeight="false" outlineLevel="0" collapsed="false">
      <c r="A21" s="5" t="s">
        <v>8</v>
      </c>
      <c r="B21" s="16" t="s">
        <v>114</v>
      </c>
      <c r="C21" s="5" t="s">
        <v>115</v>
      </c>
      <c r="D21" s="5" t="s">
        <v>116</v>
      </c>
      <c r="E21" s="5" t="s">
        <v>81</v>
      </c>
      <c r="F21" s="5" t="str">
        <f aca="false">IF(E21="Global","No","Yes (cas/jnb)")</f>
        <v>Yes (cas/jnb)</v>
      </c>
      <c r="G21" s="5" t="s">
        <v>59</v>
      </c>
      <c r="H21" s="8" t="s">
        <v>60</v>
      </c>
      <c r="I21" s="17" t="s">
        <v>117</v>
      </c>
    </row>
    <row r="22" customFormat="false" ht="15" hidden="false" customHeight="false" outlineLevel="0" collapsed="false">
      <c r="A22" s="5" t="s">
        <v>8</v>
      </c>
      <c r="B22" s="16" t="s">
        <v>118</v>
      </c>
      <c r="C22" s="5" t="s">
        <v>119</v>
      </c>
      <c r="D22" s="5" t="s">
        <v>120</v>
      </c>
      <c r="E22" s="5" t="s">
        <v>81</v>
      </c>
      <c r="F22" s="5" t="str">
        <f aca="false">IF(E22="Global","No","Yes (cas/jnb)")</f>
        <v>Yes (cas/jnb)</v>
      </c>
      <c r="G22" s="5" t="s">
        <v>59</v>
      </c>
      <c r="H22" s="8" t="s">
        <v>60</v>
      </c>
      <c r="I22" s="17" t="s">
        <v>121</v>
      </c>
    </row>
    <row r="23" customFormat="false" ht="15" hidden="false" customHeight="false" outlineLevel="0" collapsed="false">
      <c r="A23" s="5" t="s">
        <v>8</v>
      </c>
      <c r="B23" s="16" t="s">
        <v>122</v>
      </c>
      <c r="C23" s="5" t="s">
        <v>123</v>
      </c>
      <c r="D23" s="5" t="s">
        <v>124</v>
      </c>
      <c r="E23" s="5" t="s">
        <v>81</v>
      </c>
      <c r="F23" s="5" t="str">
        <f aca="false">IF(E23="Global","No","Yes (cas/jnb)")</f>
        <v>Yes (cas/jnb)</v>
      </c>
      <c r="G23" s="5" t="s">
        <v>59</v>
      </c>
      <c r="H23" s="8" t="s">
        <v>60</v>
      </c>
      <c r="I23" s="17" t="s">
        <v>125</v>
      </c>
    </row>
    <row r="24" customFormat="false" ht="15" hidden="false" customHeight="false" outlineLevel="0" collapsed="false">
      <c r="A24" s="5" t="s">
        <v>8</v>
      </c>
      <c r="B24" s="16" t="s">
        <v>126</v>
      </c>
      <c r="C24" s="5" t="s">
        <v>127</v>
      </c>
      <c r="D24" s="5" t="s">
        <v>128</v>
      </c>
      <c r="E24" s="5" t="s">
        <v>81</v>
      </c>
      <c r="F24" s="5" t="str">
        <f aca="false">IF(E24="Global","No","Yes (cas/jnb)")</f>
        <v>Yes (cas/jnb)</v>
      </c>
      <c r="G24" s="5" t="s">
        <v>59</v>
      </c>
      <c r="H24" s="8" t="s">
        <v>60</v>
      </c>
      <c r="I24" s="17" t="s">
        <v>129</v>
      </c>
    </row>
    <row r="25" customFormat="false" ht="15" hidden="false" customHeight="false" outlineLevel="0" collapsed="false">
      <c r="A25" s="5" t="s">
        <v>8</v>
      </c>
      <c r="B25" s="16" t="s">
        <v>130</v>
      </c>
      <c r="C25" s="5" t="s">
        <v>131</v>
      </c>
      <c r="D25" s="5" t="s">
        <v>132</v>
      </c>
      <c r="E25" s="5" t="s">
        <v>81</v>
      </c>
      <c r="F25" s="5" t="str">
        <f aca="false">IF(E25="Global","No","Yes (cas/jnb)")</f>
        <v>Yes (cas/jnb)</v>
      </c>
      <c r="G25" s="5" t="s">
        <v>59</v>
      </c>
      <c r="H25" s="8" t="s">
        <v>60</v>
      </c>
      <c r="I25" s="17" t="s">
        <v>133</v>
      </c>
    </row>
    <row r="26" customFormat="false" ht="15" hidden="false" customHeight="false" outlineLevel="0" collapsed="false">
      <c r="A26" s="5" t="s">
        <v>8</v>
      </c>
      <c r="B26" s="16" t="s">
        <v>134</v>
      </c>
      <c r="C26" s="5" t="s">
        <v>135</v>
      </c>
      <c r="D26" s="5" t="s">
        <v>136</v>
      </c>
      <c r="E26" s="5" t="s">
        <v>81</v>
      </c>
      <c r="F26" s="5" t="str">
        <f aca="false">IF(E26="Global","No","Yes (cas/jnb)")</f>
        <v>Yes (cas/jnb)</v>
      </c>
      <c r="G26" s="12" t="s">
        <v>44</v>
      </c>
      <c r="H26" s="13" t="s">
        <v>137</v>
      </c>
      <c r="I26" s="17" t="s">
        <v>138</v>
      </c>
    </row>
    <row r="27" customFormat="false" ht="15" hidden="false" customHeight="false" outlineLevel="0" collapsed="false">
      <c r="A27" s="5" t="s">
        <v>8</v>
      </c>
      <c r="B27" s="16" t="s">
        <v>139</v>
      </c>
      <c r="C27" s="5" t="s">
        <v>140</v>
      </c>
      <c r="D27" s="5" t="s">
        <v>141</v>
      </c>
      <c r="E27" s="5" t="s">
        <v>81</v>
      </c>
      <c r="F27" s="5" t="str">
        <f aca="false">IF(E27="Global","No","Yes (cas/jnb)")</f>
        <v>Yes (cas/jnb)</v>
      </c>
      <c r="G27" s="5" t="s">
        <v>59</v>
      </c>
      <c r="H27" s="8" t="s">
        <v>60</v>
      </c>
      <c r="I27" s="17" t="s">
        <v>142</v>
      </c>
    </row>
    <row r="28" customFormat="false" ht="15" hidden="false" customHeight="false" outlineLevel="0" collapsed="false">
      <c r="A28" s="5" t="s">
        <v>8</v>
      </c>
      <c r="B28" s="16" t="s">
        <v>143</v>
      </c>
      <c r="C28" s="5" t="s">
        <v>144</v>
      </c>
      <c r="D28" s="5" t="s">
        <v>145</v>
      </c>
      <c r="E28" s="5" t="s">
        <v>81</v>
      </c>
      <c r="F28" s="5" t="str">
        <f aca="false">IF(E28="Global","No","Yes (cas/jnb)")</f>
        <v>Yes (cas/jnb)</v>
      </c>
      <c r="G28" s="5" t="s">
        <v>59</v>
      </c>
      <c r="H28" s="8" t="s">
        <v>60</v>
      </c>
      <c r="I28" s="17" t="s">
        <v>146</v>
      </c>
    </row>
    <row r="29" customFormat="false" ht="15" hidden="false" customHeight="false" outlineLevel="0" collapsed="false">
      <c r="A29" s="5" t="s">
        <v>8</v>
      </c>
      <c r="B29" s="16" t="s">
        <v>147</v>
      </c>
      <c r="C29" s="5" t="s">
        <v>148</v>
      </c>
      <c r="D29" s="5" t="s">
        <v>149</v>
      </c>
      <c r="E29" s="5" t="s">
        <v>81</v>
      </c>
      <c r="F29" s="5" t="str">
        <f aca="false">IF(E29="Global","No","Yes (cas/jnb)")</f>
        <v>Yes (cas/jnb)</v>
      </c>
      <c r="G29" s="5" t="s">
        <v>59</v>
      </c>
      <c r="H29" s="8" t="s">
        <v>60</v>
      </c>
      <c r="I29" s="17" t="s">
        <v>150</v>
      </c>
    </row>
    <row r="30" customFormat="false" ht="15" hidden="false" customHeight="false" outlineLevel="0" collapsed="false">
      <c r="A30" s="5" t="s">
        <v>8</v>
      </c>
      <c r="B30" s="16" t="s">
        <v>151</v>
      </c>
      <c r="C30" s="5" t="s">
        <v>152</v>
      </c>
      <c r="D30" s="5" t="s">
        <v>153</v>
      </c>
      <c r="E30" s="5" t="s">
        <v>81</v>
      </c>
      <c r="F30" s="5" t="str">
        <f aca="false">IF(E30="Global","No","Yes (cas/jnb)")</f>
        <v>Yes (cas/jnb)</v>
      </c>
      <c r="G30" s="5" t="s">
        <v>59</v>
      </c>
      <c r="H30" s="8" t="s">
        <v>60</v>
      </c>
      <c r="I30" s="17" t="s">
        <v>154</v>
      </c>
    </row>
    <row r="31" customFormat="false" ht="15" hidden="false" customHeight="false" outlineLevel="0" collapsed="false">
      <c r="A31" s="5" t="s">
        <v>8</v>
      </c>
      <c r="B31" s="16" t="s">
        <v>155</v>
      </c>
      <c r="C31" s="5" t="s">
        <v>156</v>
      </c>
      <c r="D31" s="5" t="s">
        <v>157</v>
      </c>
      <c r="E31" s="5" t="s">
        <v>81</v>
      </c>
      <c r="F31" s="5" t="str">
        <f aca="false">IF(E31="Global","No","Yes (cas/jnb)")</f>
        <v>Yes (cas/jnb)</v>
      </c>
      <c r="G31" s="12" t="s">
        <v>44</v>
      </c>
      <c r="H31" s="13" t="s">
        <v>158</v>
      </c>
      <c r="I31" s="17" t="s">
        <v>159</v>
      </c>
    </row>
    <row r="32" customFormat="false" ht="15" hidden="false" customHeight="false" outlineLevel="0" collapsed="false">
      <c r="A32" s="5" t="s">
        <v>8</v>
      </c>
      <c r="B32" s="16" t="s">
        <v>160</v>
      </c>
      <c r="C32" s="5" t="s">
        <v>161</v>
      </c>
      <c r="D32" s="5" t="s">
        <v>162</v>
      </c>
      <c r="E32" s="5" t="s">
        <v>81</v>
      </c>
      <c r="F32" s="5" t="str">
        <f aca="false">IF(E32="Global","No","Yes (cas/jnb)")</f>
        <v>Yes (cas/jnb)</v>
      </c>
      <c r="G32" s="12" t="s">
        <v>44</v>
      </c>
      <c r="H32" s="13" t="s">
        <v>158</v>
      </c>
      <c r="I32" s="17" t="s">
        <v>163</v>
      </c>
    </row>
    <row r="33" customFormat="false" ht="15" hidden="false" customHeight="false" outlineLevel="0" collapsed="false">
      <c r="A33" s="5" t="s">
        <v>8</v>
      </c>
      <c r="B33" s="16" t="s">
        <v>164</v>
      </c>
      <c r="C33" s="5" t="s">
        <v>165</v>
      </c>
      <c r="D33" s="5" t="s">
        <v>166</v>
      </c>
      <c r="E33" s="5" t="s">
        <v>81</v>
      </c>
      <c r="F33" s="5" t="str">
        <f aca="false">IF(E33="Global","No","Yes (cas/jnb)")</f>
        <v>Yes (cas/jnb)</v>
      </c>
      <c r="G33" s="5" t="s">
        <v>59</v>
      </c>
      <c r="H33" s="8" t="s">
        <v>60</v>
      </c>
      <c r="I33" s="17" t="s">
        <v>167</v>
      </c>
    </row>
    <row r="34" customFormat="false" ht="15" hidden="false" customHeight="false" outlineLevel="0" collapsed="false">
      <c r="A34" s="5" t="s">
        <v>8</v>
      </c>
      <c r="B34" s="16" t="s">
        <v>168</v>
      </c>
      <c r="C34" s="5" t="s">
        <v>169</v>
      </c>
      <c r="D34" s="5" t="s">
        <v>170</v>
      </c>
      <c r="E34" s="5" t="s">
        <v>81</v>
      </c>
      <c r="F34" s="5" t="str">
        <f aca="false">IF(E34="Global","No","Yes (cas/jnb)")</f>
        <v>Yes (cas/jnb)</v>
      </c>
      <c r="G34" s="5" t="s">
        <v>59</v>
      </c>
      <c r="H34" s="8" t="s">
        <v>60</v>
      </c>
      <c r="I34" s="17" t="s">
        <v>171</v>
      </c>
    </row>
    <row r="35" customFormat="false" ht="15" hidden="false" customHeight="false" outlineLevel="0" collapsed="false">
      <c r="A35" s="5" t="s">
        <v>8</v>
      </c>
      <c r="B35" s="16" t="s">
        <v>172</v>
      </c>
      <c r="C35" s="5" t="s">
        <v>173</v>
      </c>
      <c r="D35" s="5" t="s">
        <v>174</v>
      </c>
      <c r="E35" s="5" t="s">
        <v>81</v>
      </c>
      <c r="F35" s="5" t="str">
        <f aca="false">IF(E35="Global","No","Yes (cas/jnb)")</f>
        <v>Yes (cas/jnb)</v>
      </c>
      <c r="G35" s="5" t="s">
        <v>59</v>
      </c>
      <c r="H35" s="8" t="s">
        <v>60</v>
      </c>
      <c r="I35" s="17" t="s">
        <v>175</v>
      </c>
    </row>
    <row r="36" customFormat="false" ht="15" hidden="false" customHeight="false" outlineLevel="0" collapsed="false">
      <c r="A36" s="5" t="s">
        <v>8</v>
      </c>
      <c r="B36" s="16" t="s">
        <v>176</v>
      </c>
      <c r="C36" s="5" t="s">
        <v>177</v>
      </c>
      <c r="D36" s="5" t="s">
        <v>178</v>
      </c>
      <c r="E36" s="5" t="s">
        <v>81</v>
      </c>
      <c r="F36" s="5" t="str">
        <f aca="false">IF(E36="Global","No","Yes (cas/jnb)")</f>
        <v>Yes (cas/jnb)</v>
      </c>
      <c r="G36" s="5" t="s">
        <v>59</v>
      </c>
      <c r="H36" s="8" t="s">
        <v>60</v>
      </c>
      <c r="I36" s="17" t="s">
        <v>179</v>
      </c>
    </row>
    <row r="37" customFormat="false" ht="15" hidden="false" customHeight="false" outlineLevel="0" collapsed="false">
      <c r="A37" s="5" t="s">
        <v>8</v>
      </c>
      <c r="B37" s="16" t="s">
        <v>180</v>
      </c>
      <c r="C37" s="5" t="s">
        <v>181</v>
      </c>
      <c r="D37" s="5" t="s">
        <v>182</v>
      </c>
      <c r="E37" s="5" t="s">
        <v>81</v>
      </c>
      <c r="F37" s="5" t="str">
        <f aca="false">IF(E37="Global","No","Yes (cas/jnb)")</f>
        <v>Yes (cas/jnb)</v>
      </c>
      <c r="G37" s="5" t="s">
        <v>59</v>
      </c>
      <c r="H37" s="8" t="s">
        <v>60</v>
      </c>
      <c r="I37" s="17" t="s">
        <v>183</v>
      </c>
    </row>
    <row r="38" customFormat="false" ht="15" hidden="false" customHeight="false" outlineLevel="0" collapsed="false">
      <c r="A38" s="5" t="s">
        <v>8</v>
      </c>
      <c r="B38" s="16" t="s">
        <v>184</v>
      </c>
      <c r="C38" s="5" t="s">
        <v>185</v>
      </c>
      <c r="D38" s="5" t="s">
        <v>186</v>
      </c>
      <c r="E38" s="5" t="s">
        <v>81</v>
      </c>
      <c r="F38" s="5" t="str">
        <f aca="false">IF(E38="Global","No","Yes (cas/jnb)")</f>
        <v>Yes (cas/jnb)</v>
      </c>
      <c r="G38" s="5" t="s">
        <v>59</v>
      </c>
      <c r="H38" s="8" t="s">
        <v>60</v>
      </c>
      <c r="I38" s="17" t="s">
        <v>187</v>
      </c>
    </row>
    <row r="39" customFormat="false" ht="15" hidden="false" customHeight="false" outlineLevel="0" collapsed="false">
      <c r="A39" s="10" t="s">
        <v>9</v>
      </c>
      <c r="B39" s="11" t="s">
        <v>188</v>
      </c>
      <c r="C39" s="10" t="s">
        <v>189</v>
      </c>
      <c r="D39" s="10" t="s">
        <v>190</v>
      </c>
      <c r="E39" s="10" t="s">
        <v>81</v>
      </c>
      <c r="F39" s="10" t="str">
        <f aca="false">IF(E39="Global","No","Yes (cas/jnb)")</f>
        <v>Yes (cas/jnb)</v>
      </c>
      <c r="G39" s="12" t="s">
        <v>44</v>
      </c>
      <c r="H39" s="13" t="s">
        <v>191</v>
      </c>
      <c r="I39" s="14" t="s">
        <v>28</v>
      </c>
    </row>
    <row r="40" customFormat="false" ht="15" hidden="false" customHeight="false" outlineLevel="0" collapsed="false">
      <c r="A40" s="10" t="s">
        <v>9</v>
      </c>
      <c r="B40" s="11" t="s">
        <v>192</v>
      </c>
      <c r="C40" s="10" t="s">
        <v>193</v>
      </c>
      <c r="D40" s="10" t="s">
        <v>194</v>
      </c>
      <c r="E40" s="10" t="s">
        <v>81</v>
      </c>
      <c r="F40" s="10" t="str">
        <f aca="false">IF(E40="Global","No","Yes (cas/jnb)")</f>
        <v>Yes (cas/jnb)</v>
      </c>
      <c r="G40" s="12" t="s">
        <v>44</v>
      </c>
      <c r="H40" s="13" t="s">
        <v>191</v>
      </c>
      <c r="I40" s="14" t="s">
        <v>195</v>
      </c>
    </row>
    <row r="41" customFormat="false" ht="15" hidden="false" customHeight="false" outlineLevel="0" collapsed="false">
      <c r="A41" s="10" t="s">
        <v>9</v>
      </c>
      <c r="B41" s="11" t="s">
        <v>196</v>
      </c>
      <c r="C41" s="10" t="s">
        <v>197</v>
      </c>
      <c r="D41" s="10" t="s">
        <v>198</v>
      </c>
      <c r="E41" s="10" t="s">
        <v>81</v>
      </c>
      <c r="F41" s="10" t="str">
        <f aca="false">IF(E41="Global","No","Yes (cas/jnb)")</f>
        <v>Yes (cas/jnb)</v>
      </c>
      <c r="G41" s="12" t="s">
        <v>44</v>
      </c>
      <c r="H41" s="13" t="s">
        <v>191</v>
      </c>
      <c r="I41" s="14" t="s">
        <v>199</v>
      </c>
    </row>
    <row r="42" customFormat="false" ht="15" hidden="false" customHeight="false" outlineLevel="0" collapsed="false">
      <c r="A42" s="10" t="s">
        <v>9</v>
      </c>
      <c r="B42" s="11" t="s">
        <v>200</v>
      </c>
      <c r="C42" s="10" t="s">
        <v>201</v>
      </c>
      <c r="D42" s="10" t="s">
        <v>202</v>
      </c>
      <c r="E42" s="10" t="s">
        <v>81</v>
      </c>
      <c r="F42" s="10" t="str">
        <f aca="false">IF(E42="Global","No","Yes (cas/jnb)")</f>
        <v>Yes (cas/jnb)</v>
      </c>
      <c r="G42" s="12" t="s">
        <v>44</v>
      </c>
      <c r="H42" s="13" t="s">
        <v>191</v>
      </c>
      <c r="I42" s="14" t="s">
        <v>203</v>
      </c>
    </row>
    <row r="43" customFormat="false" ht="15" hidden="false" customHeight="false" outlineLevel="0" collapsed="false">
      <c r="A43" s="10" t="s">
        <v>9</v>
      </c>
      <c r="B43" s="11" t="s">
        <v>204</v>
      </c>
      <c r="C43" s="10" t="s">
        <v>205</v>
      </c>
      <c r="D43" s="10" t="s">
        <v>206</v>
      </c>
      <c r="E43" s="10" t="s">
        <v>81</v>
      </c>
      <c r="F43" s="10" t="str">
        <f aca="false">IF(E43="Global","No","Yes (cas/jnb)")</f>
        <v>Yes (cas/jnb)</v>
      </c>
      <c r="G43" s="10" t="s">
        <v>59</v>
      </c>
      <c r="H43" s="15" t="s">
        <v>60</v>
      </c>
      <c r="I43" s="14" t="s">
        <v>207</v>
      </c>
    </row>
    <row r="44" customFormat="false" ht="15" hidden="false" customHeight="false" outlineLevel="0" collapsed="false">
      <c r="A44" s="10" t="s">
        <v>9</v>
      </c>
      <c r="B44" s="11" t="s">
        <v>208</v>
      </c>
      <c r="C44" s="10" t="s">
        <v>209</v>
      </c>
      <c r="D44" s="10" t="s">
        <v>210</v>
      </c>
      <c r="E44" s="10" t="s">
        <v>81</v>
      </c>
      <c r="F44" s="10" t="str">
        <f aca="false">IF(E44="Global","No","Yes (cas/jnb)")</f>
        <v>Yes (cas/jnb)</v>
      </c>
      <c r="G44" s="10" t="s">
        <v>59</v>
      </c>
      <c r="H44" s="15" t="s">
        <v>60</v>
      </c>
      <c r="I44" s="14" t="s">
        <v>211</v>
      </c>
    </row>
    <row r="45" customFormat="false" ht="23.85" hidden="false" customHeight="false" outlineLevel="0" collapsed="false">
      <c r="A45" s="10" t="s">
        <v>9</v>
      </c>
      <c r="B45" s="11" t="s">
        <v>212</v>
      </c>
      <c r="C45" s="10" t="s">
        <v>213</v>
      </c>
      <c r="D45" s="10" t="s">
        <v>214</v>
      </c>
      <c r="E45" s="10" t="s">
        <v>81</v>
      </c>
      <c r="F45" s="10" t="str">
        <f aca="false">IF(E45="Global","No","Yes (cas/jnb)")</f>
        <v>Yes (cas/jnb)</v>
      </c>
      <c r="G45" s="12" t="s">
        <v>44</v>
      </c>
      <c r="H45" s="13" t="s">
        <v>215</v>
      </c>
      <c r="I45" s="14" t="s">
        <v>216</v>
      </c>
    </row>
    <row r="46" customFormat="false" ht="15" hidden="false" customHeight="false" outlineLevel="0" collapsed="false">
      <c r="A46" s="10" t="s">
        <v>9</v>
      </c>
      <c r="B46" s="11" t="s">
        <v>217</v>
      </c>
      <c r="C46" s="10" t="s">
        <v>218</v>
      </c>
      <c r="D46" s="10" t="s">
        <v>219</v>
      </c>
      <c r="E46" s="10" t="s">
        <v>81</v>
      </c>
      <c r="F46" s="10" t="str">
        <f aca="false">IF(E46="Global","No","Yes (cas/jnb)")</f>
        <v>Yes (cas/jnb)</v>
      </c>
      <c r="G46" s="10" t="s">
        <v>59</v>
      </c>
      <c r="H46" s="15" t="s">
        <v>60</v>
      </c>
      <c r="I46" s="14" t="s">
        <v>220</v>
      </c>
    </row>
    <row r="47" customFormat="false" ht="15" hidden="false" customHeight="false" outlineLevel="0" collapsed="false">
      <c r="A47" s="10" t="s">
        <v>9</v>
      </c>
      <c r="B47" s="11" t="s">
        <v>221</v>
      </c>
      <c r="C47" s="10" t="s">
        <v>222</v>
      </c>
      <c r="D47" s="10" t="s">
        <v>223</v>
      </c>
      <c r="E47" s="10" t="s">
        <v>81</v>
      </c>
      <c r="F47" s="10" t="str">
        <f aca="false">IF(E47="Global","No","Yes (cas/jnb)")</f>
        <v>Yes (cas/jnb)</v>
      </c>
      <c r="G47" s="10" t="s">
        <v>59</v>
      </c>
      <c r="H47" s="15" t="s">
        <v>60</v>
      </c>
      <c r="I47" s="14" t="s">
        <v>224</v>
      </c>
    </row>
    <row r="48" customFormat="false" ht="15" hidden="false" customHeight="false" outlineLevel="0" collapsed="false">
      <c r="A48" s="10" t="s">
        <v>9</v>
      </c>
      <c r="B48" s="11" t="s">
        <v>225</v>
      </c>
      <c r="C48" s="10" t="s">
        <v>226</v>
      </c>
      <c r="D48" s="10" t="s">
        <v>227</v>
      </c>
      <c r="E48" s="10" t="s">
        <v>81</v>
      </c>
      <c r="F48" s="10" t="str">
        <f aca="false">IF(E48="Global","No","Yes (cas/jnb)")</f>
        <v>Yes (cas/jnb)</v>
      </c>
      <c r="G48" s="10" t="s">
        <v>59</v>
      </c>
      <c r="H48" s="15" t="s">
        <v>60</v>
      </c>
      <c r="I48" s="14" t="s">
        <v>228</v>
      </c>
    </row>
    <row r="49" customFormat="false" ht="15" hidden="false" customHeight="false" outlineLevel="0" collapsed="false">
      <c r="A49" s="10" t="s">
        <v>9</v>
      </c>
      <c r="B49" s="11" t="s">
        <v>229</v>
      </c>
      <c r="C49" s="10" t="s">
        <v>230</v>
      </c>
      <c r="D49" s="10" t="s">
        <v>231</v>
      </c>
      <c r="E49" s="10" t="s">
        <v>81</v>
      </c>
      <c r="F49" s="10" t="str">
        <f aca="false">IF(E49="Global","No","Yes (cas/jnb)")</f>
        <v>Yes (cas/jnb)</v>
      </c>
      <c r="G49" s="10" t="s">
        <v>59</v>
      </c>
      <c r="H49" s="15" t="s">
        <v>60</v>
      </c>
      <c r="I49" s="14" t="s">
        <v>232</v>
      </c>
    </row>
    <row r="50" customFormat="false" ht="15" hidden="false" customHeight="false" outlineLevel="0" collapsed="false">
      <c r="A50" s="10" t="s">
        <v>9</v>
      </c>
      <c r="B50" s="11" t="s">
        <v>233</v>
      </c>
      <c r="C50" s="10" t="s">
        <v>234</v>
      </c>
      <c r="D50" s="10" t="s">
        <v>235</v>
      </c>
      <c r="E50" s="10" t="s">
        <v>81</v>
      </c>
      <c r="F50" s="10" t="str">
        <f aca="false">IF(E50="Global","No","Yes (cas/jnb)")</f>
        <v>Yes (cas/jnb)</v>
      </c>
      <c r="G50" s="10" t="s">
        <v>59</v>
      </c>
      <c r="H50" s="15" t="s">
        <v>60</v>
      </c>
      <c r="I50" s="14" t="s">
        <v>236</v>
      </c>
    </row>
    <row r="51" customFormat="false" ht="15" hidden="false" customHeight="false" outlineLevel="0" collapsed="false">
      <c r="A51" s="10" t="s">
        <v>9</v>
      </c>
      <c r="B51" s="11" t="s">
        <v>237</v>
      </c>
      <c r="C51" s="10" t="s">
        <v>238</v>
      </c>
      <c r="D51" s="10" t="s">
        <v>239</v>
      </c>
      <c r="E51" s="10" t="s">
        <v>81</v>
      </c>
      <c r="F51" s="10" t="str">
        <f aca="false">IF(E51="Global","No","Yes (cas/jnb)")</f>
        <v>Yes (cas/jnb)</v>
      </c>
      <c r="G51" s="10" t="s">
        <v>59</v>
      </c>
      <c r="H51" s="15" t="s">
        <v>60</v>
      </c>
      <c r="I51" s="14" t="s">
        <v>240</v>
      </c>
    </row>
    <row r="52" customFormat="false" ht="15" hidden="false" customHeight="false" outlineLevel="0" collapsed="false">
      <c r="A52" s="10" t="s">
        <v>9</v>
      </c>
      <c r="B52" s="11" t="s">
        <v>241</v>
      </c>
      <c r="C52" s="10" t="s">
        <v>242</v>
      </c>
      <c r="D52" s="10" t="s">
        <v>243</v>
      </c>
      <c r="E52" s="10" t="s">
        <v>81</v>
      </c>
      <c r="F52" s="10" t="str">
        <f aca="false">IF(E52="Global","No","Yes (cas/jnb)")</f>
        <v>Yes (cas/jnb)</v>
      </c>
      <c r="G52" s="10" t="s">
        <v>59</v>
      </c>
      <c r="H52" s="15" t="s">
        <v>60</v>
      </c>
      <c r="I52" s="14" t="s">
        <v>244</v>
      </c>
    </row>
    <row r="53" customFormat="false" ht="15" hidden="false" customHeight="false" outlineLevel="0" collapsed="false">
      <c r="A53" s="10" t="s">
        <v>9</v>
      </c>
      <c r="B53" s="11" t="s">
        <v>245</v>
      </c>
      <c r="C53" s="10" t="s">
        <v>246</v>
      </c>
      <c r="D53" s="10" t="s">
        <v>247</v>
      </c>
      <c r="E53" s="10" t="s">
        <v>81</v>
      </c>
      <c r="F53" s="10" t="str">
        <f aca="false">IF(E53="Global","No","Yes (cas/jnb)")</f>
        <v>Yes (cas/jnb)</v>
      </c>
      <c r="G53" s="10" t="s">
        <v>59</v>
      </c>
      <c r="H53" s="15" t="s">
        <v>60</v>
      </c>
      <c r="I53" s="14" t="s">
        <v>248</v>
      </c>
    </row>
    <row r="54" customFormat="false" ht="15" hidden="false" customHeight="false" outlineLevel="0" collapsed="false">
      <c r="A54" s="5" t="s">
        <v>10</v>
      </c>
      <c r="B54" s="16" t="s">
        <v>249</v>
      </c>
      <c r="C54" s="5" t="s">
        <v>250</v>
      </c>
      <c r="D54" s="5" t="s">
        <v>251</v>
      </c>
      <c r="E54" s="5" t="s">
        <v>81</v>
      </c>
      <c r="F54" s="5" t="str">
        <f aca="false">IF(E54="Global","No","Yes (cas/jnb)")</f>
        <v>Yes (cas/jnb)</v>
      </c>
      <c r="G54" s="5" t="s">
        <v>59</v>
      </c>
      <c r="H54" s="8" t="s">
        <v>60</v>
      </c>
      <c r="I54" s="17" t="s">
        <v>252</v>
      </c>
    </row>
    <row r="55" customFormat="false" ht="15" hidden="false" customHeight="false" outlineLevel="0" collapsed="false">
      <c r="A55" s="5" t="s">
        <v>10</v>
      </c>
      <c r="B55" s="16" t="s">
        <v>253</v>
      </c>
      <c r="C55" s="5" t="s">
        <v>254</v>
      </c>
      <c r="D55" s="5" t="s">
        <v>255</v>
      </c>
      <c r="E55" s="5" t="s">
        <v>81</v>
      </c>
      <c r="F55" s="5" t="str">
        <f aca="false">IF(E55="Global","No","Yes (cas/jnb)")</f>
        <v>Yes (cas/jnb)</v>
      </c>
      <c r="G55" s="5" t="s">
        <v>59</v>
      </c>
      <c r="H55" s="8" t="s">
        <v>60</v>
      </c>
      <c r="I55" s="17" t="s">
        <v>256</v>
      </c>
    </row>
    <row r="56" customFormat="false" ht="15" hidden="false" customHeight="false" outlineLevel="0" collapsed="false">
      <c r="A56" s="5" t="s">
        <v>10</v>
      </c>
      <c r="B56" s="16" t="s">
        <v>257</v>
      </c>
      <c r="C56" s="5" t="s">
        <v>258</v>
      </c>
      <c r="D56" s="5" t="s">
        <v>259</v>
      </c>
      <c r="E56" s="5" t="s">
        <v>81</v>
      </c>
      <c r="F56" s="5" t="str">
        <f aca="false">IF(E56="Global","No","Yes (cas/jnb)")</f>
        <v>Yes (cas/jnb)</v>
      </c>
      <c r="G56" s="5" t="s">
        <v>59</v>
      </c>
      <c r="H56" s="8" t="s">
        <v>60</v>
      </c>
      <c r="I56" s="17" t="s">
        <v>260</v>
      </c>
    </row>
    <row r="57" customFormat="false" ht="15" hidden="false" customHeight="false" outlineLevel="0" collapsed="false">
      <c r="A57" s="10" t="s">
        <v>11</v>
      </c>
      <c r="B57" s="11" t="s">
        <v>261</v>
      </c>
      <c r="C57" s="10" t="s">
        <v>262</v>
      </c>
      <c r="D57" s="10" t="s">
        <v>263</v>
      </c>
      <c r="E57" s="10" t="s">
        <v>81</v>
      </c>
      <c r="F57" s="10" t="str">
        <f aca="false">IF(E57="Global","No","Yes (cas/jnb)")</f>
        <v>Yes (cas/jnb)</v>
      </c>
      <c r="G57" s="12" t="s">
        <v>44</v>
      </c>
      <c r="H57" s="13" t="s">
        <v>264</v>
      </c>
      <c r="I57" s="14" t="s">
        <v>265</v>
      </c>
    </row>
    <row r="58" customFormat="false" ht="15" hidden="false" customHeight="false" outlineLevel="0" collapsed="false">
      <c r="A58" s="10" t="s">
        <v>11</v>
      </c>
      <c r="B58" s="11" t="s">
        <v>266</v>
      </c>
      <c r="C58" s="10" t="s">
        <v>267</v>
      </c>
      <c r="D58" s="10" t="s">
        <v>268</v>
      </c>
      <c r="E58" s="10" t="s">
        <v>81</v>
      </c>
      <c r="F58" s="10" t="str">
        <f aca="false">IF(E58="Global","No","Yes (cas/jnb)")</f>
        <v>Yes (cas/jnb)</v>
      </c>
      <c r="G58" s="10" t="s">
        <v>59</v>
      </c>
      <c r="H58" s="15" t="s">
        <v>60</v>
      </c>
      <c r="I58" s="14" t="s">
        <v>269</v>
      </c>
    </row>
    <row r="59" customFormat="false" ht="15" hidden="false" customHeight="false" outlineLevel="0" collapsed="false">
      <c r="A59" s="10" t="s">
        <v>11</v>
      </c>
      <c r="B59" s="11" t="s">
        <v>270</v>
      </c>
      <c r="C59" s="10" t="s">
        <v>271</v>
      </c>
      <c r="D59" s="10" t="s">
        <v>272</v>
      </c>
      <c r="E59" s="10" t="s">
        <v>81</v>
      </c>
      <c r="F59" s="10" t="str">
        <f aca="false">IF(E59="Global","No","Yes (cas/jnb)")</f>
        <v>Yes (cas/jnb)</v>
      </c>
      <c r="G59" s="10" t="s">
        <v>59</v>
      </c>
      <c r="H59" s="15" t="s">
        <v>60</v>
      </c>
      <c r="I59" s="14" t="s">
        <v>273</v>
      </c>
    </row>
    <row r="60" customFormat="false" ht="15" hidden="false" customHeight="false" outlineLevel="0" collapsed="false">
      <c r="A60" s="10" t="s">
        <v>11</v>
      </c>
      <c r="B60" s="11" t="s">
        <v>274</v>
      </c>
      <c r="C60" s="10" t="s">
        <v>275</v>
      </c>
      <c r="D60" s="10" t="s">
        <v>276</v>
      </c>
      <c r="E60" s="10" t="s">
        <v>81</v>
      </c>
      <c r="F60" s="10" t="str">
        <f aca="false">IF(E60="Global","No","Yes (cas/jnb)")</f>
        <v>Yes (cas/jnb)</v>
      </c>
      <c r="G60" s="12" t="s">
        <v>44</v>
      </c>
      <c r="H60" s="13" t="s">
        <v>277</v>
      </c>
      <c r="I60" s="14" t="s">
        <v>278</v>
      </c>
    </row>
    <row r="61" customFormat="false" ht="15" hidden="false" customHeight="false" outlineLevel="0" collapsed="false">
      <c r="A61" s="10" t="s">
        <v>11</v>
      </c>
      <c r="B61" s="11" t="s">
        <v>279</v>
      </c>
      <c r="C61" s="10" t="s">
        <v>280</v>
      </c>
      <c r="D61" s="10" t="s">
        <v>281</v>
      </c>
      <c r="E61" s="10" t="s">
        <v>81</v>
      </c>
      <c r="F61" s="10" t="str">
        <f aca="false">IF(E61="Global","No","Yes (cas/jnb)")</f>
        <v>Yes (cas/jnb)</v>
      </c>
      <c r="G61" s="10" t="s">
        <v>59</v>
      </c>
      <c r="H61" s="15" t="s">
        <v>60</v>
      </c>
      <c r="I61" s="14" t="s">
        <v>282</v>
      </c>
    </row>
    <row r="62" customFormat="false" ht="15" hidden="false" customHeight="false" outlineLevel="0" collapsed="false">
      <c r="A62" s="10" t="s">
        <v>11</v>
      </c>
      <c r="B62" s="11" t="s">
        <v>283</v>
      </c>
      <c r="C62" s="10" t="s">
        <v>284</v>
      </c>
      <c r="D62" s="10" t="s">
        <v>285</v>
      </c>
      <c r="E62" s="10" t="s">
        <v>81</v>
      </c>
      <c r="F62" s="10" t="str">
        <f aca="false">IF(E62="Global","No","Yes (cas/jnb)")</f>
        <v>Yes (cas/jnb)</v>
      </c>
      <c r="G62" s="10" t="s">
        <v>59</v>
      </c>
      <c r="H62" s="15" t="s">
        <v>60</v>
      </c>
      <c r="I62" s="14" t="s">
        <v>286</v>
      </c>
    </row>
    <row r="63" customFormat="false" ht="15" hidden="false" customHeight="false" outlineLevel="0" collapsed="false">
      <c r="A63" s="10" t="s">
        <v>11</v>
      </c>
      <c r="B63" s="11" t="s">
        <v>287</v>
      </c>
      <c r="C63" s="10" t="s">
        <v>288</v>
      </c>
      <c r="D63" s="10" t="s">
        <v>289</v>
      </c>
      <c r="E63" s="10" t="s">
        <v>81</v>
      </c>
      <c r="F63" s="10" t="str">
        <f aca="false">IF(E63="Global","No","Yes (cas/jnb)")</f>
        <v>Yes (cas/jnb)</v>
      </c>
      <c r="G63" s="10" t="s">
        <v>59</v>
      </c>
      <c r="H63" s="15" t="s">
        <v>60</v>
      </c>
      <c r="I63" s="14" t="s">
        <v>290</v>
      </c>
    </row>
    <row r="64" customFormat="false" ht="15" hidden="false" customHeight="false" outlineLevel="0" collapsed="false">
      <c r="A64" s="10" t="s">
        <v>11</v>
      </c>
      <c r="B64" s="11" t="s">
        <v>291</v>
      </c>
      <c r="C64" s="10" t="s">
        <v>292</v>
      </c>
      <c r="D64" s="10" t="s">
        <v>293</v>
      </c>
      <c r="E64" s="10" t="s">
        <v>81</v>
      </c>
      <c r="F64" s="10" t="str">
        <f aca="false">IF(E64="Global","No","Yes (cas/jnb)")</f>
        <v>Yes (cas/jnb)</v>
      </c>
      <c r="G64" s="12" t="s">
        <v>44</v>
      </c>
      <c r="H64" s="13" t="s">
        <v>294</v>
      </c>
      <c r="I64" s="14" t="s">
        <v>295</v>
      </c>
    </row>
    <row r="65" customFormat="false" ht="15" hidden="false" customHeight="false" outlineLevel="0" collapsed="false">
      <c r="A65" s="10" t="s">
        <v>11</v>
      </c>
      <c r="B65" s="11" t="s">
        <v>296</v>
      </c>
      <c r="C65" s="10" t="s">
        <v>297</v>
      </c>
      <c r="D65" s="10" t="s">
        <v>298</v>
      </c>
      <c r="E65" s="10" t="s">
        <v>81</v>
      </c>
      <c r="F65" s="10" t="str">
        <f aca="false">IF(E65="Global","No","Yes (cas/jnb)")</f>
        <v>Yes (cas/jnb)</v>
      </c>
      <c r="G65" s="12" t="s">
        <v>44</v>
      </c>
      <c r="H65" s="13" t="s">
        <v>294</v>
      </c>
      <c r="I65" s="14" t="s">
        <v>299</v>
      </c>
    </row>
    <row r="66" customFormat="false" ht="23.85" hidden="false" customHeight="false" outlineLevel="0" collapsed="false">
      <c r="A66" s="10" t="s">
        <v>11</v>
      </c>
      <c r="B66" s="11" t="s">
        <v>300</v>
      </c>
      <c r="C66" s="10" t="s">
        <v>301</v>
      </c>
      <c r="D66" s="10" t="s">
        <v>302</v>
      </c>
      <c r="E66" s="10" t="s">
        <v>81</v>
      </c>
      <c r="F66" s="10" t="str">
        <f aca="false">IF(E66="Global","No","Yes (cas/jnb)")</f>
        <v>Yes (cas/jnb)</v>
      </c>
      <c r="G66" s="10" t="s">
        <v>59</v>
      </c>
      <c r="H66" s="15" t="s">
        <v>60</v>
      </c>
      <c r="I66" s="14" t="s">
        <v>303</v>
      </c>
    </row>
    <row r="67" customFormat="false" ht="15" hidden="false" customHeight="false" outlineLevel="0" collapsed="false">
      <c r="A67" s="10" t="s">
        <v>11</v>
      </c>
      <c r="B67" s="11" t="s">
        <v>304</v>
      </c>
      <c r="C67" s="10" t="s">
        <v>305</v>
      </c>
      <c r="D67" s="10" t="s">
        <v>306</v>
      </c>
      <c r="E67" s="10" t="s">
        <v>81</v>
      </c>
      <c r="F67" s="10" t="str">
        <f aca="false">IF(E67="Global","No","Yes (cas/jnb)")</f>
        <v>Yes (cas/jnb)</v>
      </c>
      <c r="G67" s="10" t="s">
        <v>59</v>
      </c>
      <c r="H67" s="15" t="s">
        <v>60</v>
      </c>
      <c r="I67" s="14" t="s">
        <v>307</v>
      </c>
    </row>
    <row r="68" customFormat="false" ht="15" hidden="false" customHeight="false" outlineLevel="0" collapsed="false">
      <c r="A68" s="10" t="s">
        <v>11</v>
      </c>
      <c r="B68" s="11" t="s">
        <v>308</v>
      </c>
      <c r="C68" s="10" t="s">
        <v>309</v>
      </c>
      <c r="D68" s="10" t="s">
        <v>310</v>
      </c>
      <c r="E68" s="10" t="s">
        <v>81</v>
      </c>
      <c r="F68" s="10" t="str">
        <f aca="false">IF(E68="Global","No","Yes (cas/jnb)")</f>
        <v>Yes (cas/jnb)</v>
      </c>
      <c r="G68" s="10" t="s">
        <v>59</v>
      </c>
      <c r="H68" s="15" t="s">
        <v>60</v>
      </c>
      <c r="I68" s="14" t="s">
        <v>311</v>
      </c>
    </row>
    <row r="69" customFormat="false" ht="23.85" hidden="false" customHeight="false" outlineLevel="0" collapsed="false">
      <c r="A69" s="5" t="s">
        <v>12</v>
      </c>
      <c r="B69" s="16" t="s">
        <v>312</v>
      </c>
      <c r="C69" s="5" t="s">
        <v>313</v>
      </c>
      <c r="D69" s="5" t="s">
        <v>314</v>
      </c>
      <c r="E69" s="5" t="s">
        <v>81</v>
      </c>
      <c r="F69" s="5" t="str">
        <f aca="false">IF(E69="Global","No","Yes (cas/jnb)")</f>
        <v>Yes (cas/jnb)</v>
      </c>
      <c r="G69" s="12" t="s">
        <v>44</v>
      </c>
      <c r="H69" s="13" t="s">
        <v>315</v>
      </c>
      <c r="I69" s="17" t="s">
        <v>316</v>
      </c>
    </row>
    <row r="70" customFormat="false" ht="15" hidden="false" customHeight="false" outlineLevel="0" collapsed="false">
      <c r="A70" s="5" t="s">
        <v>12</v>
      </c>
      <c r="B70" s="16" t="s">
        <v>317</v>
      </c>
      <c r="C70" s="5" t="s">
        <v>318</v>
      </c>
      <c r="D70" s="5" t="s">
        <v>319</v>
      </c>
      <c r="E70" s="5" t="s">
        <v>81</v>
      </c>
      <c r="F70" s="5" t="str">
        <f aca="false">IF(E70="Global","No","Yes (cas/jnb)")</f>
        <v>Yes (cas/jnb)</v>
      </c>
      <c r="G70" s="5" t="s">
        <v>59</v>
      </c>
      <c r="H70" s="8" t="s">
        <v>60</v>
      </c>
      <c r="I70" s="17" t="s">
        <v>320</v>
      </c>
    </row>
    <row r="71" customFormat="false" ht="15" hidden="false" customHeight="false" outlineLevel="0" collapsed="false">
      <c r="A71" s="5" t="s">
        <v>12</v>
      </c>
      <c r="B71" s="16" t="s">
        <v>321</v>
      </c>
      <c r="C71" s="5" t="s">
        <v>322</v>
      </c>
      <c r="D71" s="5" t="s">
        <v>323</v>
      </c>
      <c r="E71" s="5" t="s">
        <v>81</v>
      </c>
      <c r="F71" s="5" t="str">
        <f aca="false">IF(E71="Global","No","Yes (cas/jnb)")</f>
        <v>Yes (cas/jnb)</v>
      </c>
      <c r="G71" s="5" t="s">
        <v>59</v>
      </c>
      <c r="H71" s="8" t="s">
        <v>60</v>
      </c>
      <c r="I71" s="17" t="s">
        <v>324</v>
      </c>
    </row>
    <row r="72" customFormat="false" ht="15" hidden="false" customHeight="false" outlineLevel="0" collapsed="false">
      <c r="A72" s="10" t="s">
        <v>13</v>
      </c>
      <c r="B72" s="11" t="s">
        <v>325</v>
      </c>
      <c r="C72" s="10" t="s">
        <v>326</v>
      </c>
      <c r="D72" s="10" t="s">
        <v>327</v>
      </c>
      <c r="E72" s="10" t="s">
        <v>81</v>
      </c>
      <c r="F72" s="10" t="str">
        <f aca="false">IF(E72="Global","No","Yes (cas/jnb)")</f>
        <v>Yes (cas/jnb)</v>
      </c>
      <c r="G72" s="10" t="s">
        <v>59</v>
      </c>
      <c r="H72" s="15" t="s">
        <v>60</v>
      </c>
      <c r="I72" s="14" t="s">
        <v>328</v>
      </c>
    </row>
    <row r="73" customFormat="false" ht="15" hidden="false" customHeight="false" outlineLevel="0" collapsed="false">
      <c r="A73" s="10" t="s">
        <v>13</v>
      </c>
      <c r="B73" s="11" t="s">
        <v>329</v>
      </c>
      <c r="C73" s="10" t="s">
        <v>330</v>
      </c>
      <c r="D73" s="10" t="s">
        <v>331</v>
      </c>
      <c r="E73" s="10" t="s">
        <v>81</v>
      </c>
      <c r="F73" s="10" t="str">
        <f aca="false">IF(E73="Global","No","Yes (cas/jnb)")</f>
        <v>Yes (cas/jnb)</v>
      </c>
      <c r="G73" s="12" t="s">
        <v>44</v>
      </c>
      <c r="H73" s="13" t="s">
        <v>332</v>
      </c>
      <c r="I73" s="14" t="s">
        <v>333</v>
      </c>
    </row>
    <row r="74" customFormat="false" ht="15" hidden="false" customHeight="false" outlineLevel="0" collapsed="false">
      <c r="A74" s="10" t="s">
        <v>13</v>
      </c>
      <c r="B74" s="11" t="s">
        <v>334</v>
      </c>
      <c r="C74" s="10" t="s">
        <v>335</v>
      </c>
      <c r="D74" s="10" t="s">
        <v>336</v>
      </c>
      <c r="E74" s="10" t="s">
        <v>81</v>
      </c>
      <c r="F74" s="10" t="str">
        <f aca="false">IF(E74="Global","No","Yes (cas/jnb)")</f>
        <v>Yes (cas/jnb)</v>
      </c>
      <c r="G74" s="12" t="s">
        <v>44</v>
      </c>
      <c r="H74" s="13" t="s">
        <v>337</v>
      </c>
      <c r="I74" s="14" t="s">
        <v>338</v>
      </c>
    </row>
    <row r="75" customFormat="false" ht="15" hidden="false" customHeight="false" outlineLevel="0" collapsed="false">
      <c r="A75" s="10" t="s">
        <v>13</v>
      </c>
      <c r="B75" s="11" t="s">
        <v>339</v>
      </c>
      <c r="C75" s="10" t="s">
        <v>340</v>
      </c>
      <c r="D75" s="10" t="s">
        <v>341</v>
      </c>
      <c r="E75" s="10" t="s">
        <v>81</v>
      </c>
      <c r="F75" s="10" t="str">
        <f aca="false">IF(E75="Global","No","Yes (cas/jnb)")</f>
        <v>Yes (cas/jnb)</v>
      </c>
      <c r="G75" s="10" t="s">
        <v>59</v>
      </c>
      <c r="H75" s="15" t="s">
        <v>60</v>
      </c>
      <c r="I75" s="14" t="s">
        <v>342</v>
      </c>
    </row>
    <row r="76" customFormat="false" ht="15" hidden="false" customHeight="false" outlineLevel="0" collapsed="false">
      <c r="A76" s="10" t="s">
        <v>13</v>
      </c>
      <c r="B76" s="11" t="s">
        <v>343</v>
      </c>
      <c r="C76" s="10" t="s">
        <v>344</v>
      </c>
      <c r="D76" s="10" t="s">
        <v>345</v>
      </c>
      <c r="E76" s="10" t="s">
        <v>81</v>
      </c>
      <c r="F76" s="10" t="str">
        <f aca="false">IF(E76="Global","No","Yes (cas/jnb)")</f>
        <v>Yes (cas/jnb)</v>
      </c>
      <c r="G76" s="10" t="s">
        <v>59</v>
      </c>
      <c r="H76" s="15" t="s">
        <v>60</v>
      </c>
      <c r="I76" s="14" t="s">
        <v>346</v>
      </c>
    </row>
    <row r="77" customFormat="false" ht="23.85" hidden="false" customHeight="false" outlineLevel="0" collapsed="false">
      <c r="A77" s="10" t="s">
        <v>13</v>
      </c>
      <c r="B77" s="11" t="s">
        <v>347</v>
      </c>
      <c r="C77" s="10" t="s">
        <v>348</v>
      </c>
      <c r="D77" s="10" t="s">
        <v>349</v>
      </c>
      <c r="E77" s="10" t="s">
        <v>81</v>
      </c>
      <c r="F77" s="10" t="str">
        <f aca="false">IF(E77="Global","No","Yes (cas/jnb)")</f>
        <v>Yes (cas/jnb)</v>
      </c>
      <c r="G77" s="10" t="s">
        <v>59</v>
      </c>
      <c r="H77" s="15" t="s">
        <v>60</v>
      </c>
      <c r="I77" s="14" t="s">
        <v>350</v>
      </c>
    </row>
    <row r="78" customFormat="false" ht="15" hidden="false" customHeight="false" outlineLevel="0" collapsed="false">
      <c r="A78" s="10" t="s">
        <v>13</v>
      </c>
      <c r="B78" s="11" t="s">
        <v>351</v>
      </c>
      <c r="C78" s="10" t="s">
        <v>352</v>
      </c>
      <c r="D78" s="10" t="s">
        <v>353</v>
      </c>
      <c r="E78" s="10" t="s">
        <v>81</v>
      </c>
      <c r="F78" s="10" t="str">
        <f aca="false">IF(E78="Global","No","Yes (cas/jnb)")</f>
        <v>Yes (cas/jnb)</v>
      </c>
      <c r="G78" s="12" t="s">
        <v>44</v>
      </c>
      <c r="H78" s="13" t="s">
        <v>158</v>
      </c>
      <c r="I78" s="14" t="s">
        <v>354</v>
      </c>
    </row>
    <row r="79" customFormat="false" ht="15" hidden="false" customHeight="false" outlineLevel="0" collapsed="false">
      <c r="A79" s="10" t="s">
        <v>13</v>
      </c>
      <c r="B79" s="11" t="s">
        <v>355</v>
      </c>
      <c r="C79" s="10" t="s">
        <v>356</v>
      </c>
      <c r="D79" s="10" t="s">
        <v>357</v>
      </c>
      <c r="E79" s="10" t="s">
        <v>81</v>
      </c>
      <c r="F79" s="10" t="str">
        <f aca="false">IF(E79="Global","No","Yes (cas/jnb)")</f>
        <v>Yes (cas/jnb)</v>
      </c>
      <c r="G79" s="10" t="s">
        <v>59</v>
      </c>
      <c r="H79" s="15" t="s">
        <v>60</v>
      </c>
      <c r="I79" s="14" t="s">
        <v>358</v>
      </c>
    </row>
    <row r="80" customFormat="false" ht="23.85" hidden="false" customHeight="false" outlineLevel="0" collapsed="false">
      <c r="A80" s="5" t="s">
        <v>14</v>
      </c>
      <c r="B80" s="16" t="s">
        <v>359</v>
      </c>
      <c r="C80" s="5" t="s">
        <v>360</v>
      </c>
      <c r="D80" s="5" t="s">
        <v>361</v>
      </c>
      <c r="E80" s="5" t="s">
        <v>81</v>
      </c>
      <c r="F80" s="5" t="str">
        <f aca="false">IF(E80="Global","No","Yes (cas/jnb)")</f>
        <v>Yes (cas/jnb)</v>
      </c>
      <c r="G80" s="12" t="s">
        <v>44</v>
      </c>
      <c r="H80" s="13" t="s">
        <v>158</v>
      </c>
      <c r="I80" s="17" t="s">
        <v>362</v>
      </c>
    </row>
    <row r="81" customFormat="false" ht="23.85" hidden="false" customHeight="false" outlineLevel="0" collapsed="false">
      <c r="A81" s="5" t="s">
        <v>14</v>
      </c>
      <c r="B81" s="16" t="s">
        <v>363</v>
      </c>
      <c r="C81" s="5" t="s">
        <v>364</v>
      </c>
      <c r="D81" s="5" t="s">
        <v>365</v>
      </c>
      <c r="E81" s="5" t="s">
        <v>81</v>
      </c>
      <c r="F81" s="5" t="str">
        <f aca="false">IF(E81="Global","No","Yes (cas/jnb)")</f>
        <v>Yes (cas/jnb)</v>
      </c>
      <c r="G81" s="5" t="s">
        <v>59</v>
      </c>
      <c r="H81" s="8" t="s">
        <v>60</v>
      </c>
      <c r="I81" s="17" t="s">
        <v>366</v>
      </c>
    </row>
    <row r="82" customFormat="false" ht="23.85" hidden="false" customHeight="false" outlineLevel="0" collapsed="false">
      <c r="A82" s="5" t="s">
        <v>14</v>
      </c>
      <c r="B82" s="16" t="s">
        <v>367</v>
      </c>
      <c r="C82" s="5" t="s">
        <v>368</v>
      </c>
      <c r="D82" s="5" t="s">
        <v>369</v>
      </c>
      <c r="E82" s="5" t="s">
        <v>81</v>
      </c>
      <c r="F82" s="5" t="str">
        <f aca="false">IF(E82="Global","No","Yes (cas/jnb)")</f>
        <v>Yes (cas/jnb)</v>
      </c>
      <c r="G82" s="5" t="s">
        <v>59</v>
      </c>
      <c r="H82" s="8" t="s">
        <v>60</v>
      </c>
      <c r="I82" s="17" t="s">
        <v>370</v>
      </c>
    </row>
    <row r="83" customFormat="false" ht="23.85" hidden="false" customHeight="false" outlineLevel="0" collapsed="false">
      <c r="A83" s="5" t="s">
        <v>14</v>
      </c>
      <c r="B83" s="16" t="s">
        <v>371</v>
      </c>
      <c r="C83" s="5" t="s">
        <v>372</v>
      </c>
      <c r="D83" s="5" t="s">
        <v>373</v>
      </c>
      <c r="E83" s="5" t="s">
        <v>81</v>
      </c>
      <c r="F83" s="5" t="str">
        <f aca="false">IF(E83="Global","No","Yes (cas/jnb)")</f>
        <v>Yes (cas/jnb)</v>
      </c>
      <c r="G83" s="5" t="s">
        <v>59</v>
      </c>
      <c r="H83" s="8" t="s">
        <v>60</v>
      </c>
      <c r="I83" s="17" t="s">
        <v>374</v>
      </c>
    </row>
    <row r="84" customFormat="false" ht="23.85" hidden="false" customHeight="false" outlineLevel="0" collapsed="false">
      <c r="A84" s="5" t="s">
        <v>14</v>
      </c>
      <c r="B84" s="16" t="s">
        <v>375</v>
      </c>
      <c r="C84" s="5" t="s">
        <v>376</v>
      </c>
      <c r="D84" s="5" t="s">
        <v>377</v>
      </c>
      <c r="E84" s="5" t="s">
        <v>81</v>
      </c>
      <c r="F84" s="5" t="str">
        <f aca="false">IF(E84="Global","No","Yes (cas/jnb)")</f>
        <v>Yes (cas/jnb)</v>
      </c>
      <c r="G84" s="5" t="s">
        <v>59</v>
      </c>
      <c r="H84" s="8" t="s">
        <v>60</v>
      </c>
      <c r="I84" s="17" t="s">
        <v>378</v>
      </c>
    </row>
    <row r="85" customFormat="false" ht="23.85" hidden="false" customHeight="false" outlineLevel="0" collapsed="false">
      <c r="A85" s="5" t="s">
        <v>14</v>
      </c>
      <c r="B85" s="16" t="s">
        <v>379</v>
      </c>
      <c r="C85" s="5" t="s">
        <v>380</v>
      </c>
      <c r="D85" s="5" t="s">
        <v>381</v>
      </c>
      <c r="E85" s="5" t="s">
        <v>81</v>
      </c>
      <c r="F85" s="5" t="str">
        <f aca="false">IF(E85="Global","No","Yes (cas/jnb)")</f>
        <v>Yes (cas/jnb)</v>
      </c>
      <c r="G85" s="5" t="s">
        <v>59</v>
      </c>
      <c r="H85" s="8" t="s">
        <v>60</v>
      </c>
      <c r="I85" s="17" t="s">
        <v>382</v>
      </c>
    </row>
    <row r="86" customFormat="false" ht="23.85" hidden="false" customHeight="false" outlineLevel="0" collapsed="false">
      <c r="A86" s="5" t="s">
        <v>14</v>
      </c>
      <c r="B86" s="16" t="s">
        <v>383</v>
      </c>
      <c r="C86" s="5" t="s">
        <v>384</v>
      </c>
      <c r="D86" s="5" t="s">
        <v>385</v>
      </c>
      <c r="E86" s="5" t="s">
        <v>81</v>
      </c>
      <c r="F86" s="5" t="str">
        <f aca="false">IF(E86="Global","No","Yes (cas/jnb)")</f>
        <v>Yes (cas/jnb)</v>
      </c>
      <c r="G86" s="5" t="s">
        <v>59</v>
      </c>
      <c r="H86" s="8" t="s">
        <v>60</v>
      </c>
      <c r="I86" s="17" t="s">
        <v>386</v>
      </c>
    </row>
    <row r="87" customFormat="false" ht="23.85" hidden="false" customHeight="false" outlineLevel="0" collapsed="false">
      <c r="A87" s="5" t="s">
        <v>14</v>
      </c>
      <c r="B87" s="16" t="s">
        <v>387</v>
      </c>
      <c r="C87" s="5" t="s">
        <v>388</v>
      </c>
      <c r="D87" s="5" t="s">
        <v>389</v>
      </c>
      <c r="E87" s="5" t="s">
        <v>81</v>
      </c>
      <c r="F87" s="5" t="str">
        <f aca="false">IF(E87="Global","No","Yes (cas/jnb)")</f>
        <v>Yes (cas/jnb)</v>
      </c>
      <c r="G87" s="5" t="s">
        <v>59</v>
      </c>
      <c r="H87" s="8" t="s">
        <v>60</v>
      </c>
      <c r="I87" s="17" t="s">
        <v>390</v>
      </c>
    </row>
    <row r="88" customFormat="false" ht="23.85" hidden="false" customHeight="false" outlineLevel="0" collapsed="false">
      <c r="A88" s="5" t="s">
        <v>14</v>
      </c>
      <c r="B88" s="16" t="s">
        <v>391</v>
      </c>
      <c r="C88" s="5" t="s">
        <v>392</v>
      </c>
      <c r="D88" s="5" t="s">
        <v>393</v>
      </c>
      <c r="E88" s="5" t="s">
        <v>81</v>
      </c>
      <c r="F88" s="5" t="str">
        <f aca="false">IF(E88="Global","No","Yes (cas/jnb)")</f>
        <v>Yes (cas/jnb)</v>
      </c>
      <c r="G88" s="5" t="s">
        <v>59</v>
      </c>
      <c r="H88" s="8" t="s">
        <v>60</v>
      </c>
      <c r="I88" s="17" t="s">
        <v>394</v>
      </c>
    </row>
    <row r="89" customFormat="false" ht="23.85" hidden="false" customHeight="false" outlineLevel="0" collapsed="false">
      <c r="A89" s="5" t="s">
        <v>14</v>
      </c>
      <c r="B89" s="16" t="s">
        <v>395</v>
      </c>
      <c r="C89" s="5" t="s">
        <v>396</v>
      </c>
      <c r="D89" s="5" t="s">
        <v>397</v>
      </c>
      <c r="E89" s="5" t="s">
        <v>81</v>
      </c>
      <c r="F89" s="5" t="str">
        <f aca="false">IF(E89="Global","No","Yes (cas/jnb)")</f>
        <v>Yes (cas/jnb)</v>
      </c>
      <c r="G89" s="5" t="s">
        <v>59</v>
      </c>
      <c r="H89" s="8" t="s">
        <v>60</v>
      </c>
      <c r="I89" s="17" t="s">
        <v>398</v>
      </c>
    </row>
    <row r="90" customFormat="false" ht="23.85" hidden="false" customHeight="false" outlineLevel="0" collapsed="false">
      <c r="A90" s="5" t="s">
        <v>14</v>
      </c>
      <c r="B90" s="16" t="s">
        <v>399</v>
      </c>
      <c r="C90" s="5" t="s">
        <v>400</v>
      </c>
      <c r="D90" s="5" t="s">
        <v>401</v>
      </c>
      <c r="E90" s="5" t="s">
        <v>81</v>
      </c>
      <c r="F90" s="5" t="str">
        <f aca="false">IF(E90="Global","No","Yes (cas/jnb)")</f>
        <v>Yes (cas/jnb)</v>
      </c>
      <c r="G90" s="5" t="s">
        <v>59</v>
      </c>
      <c r="H90" s="8" t="s">
        <v>60</v>
      </c>
      <c r="I90" s="17" t="s">
        <v>402</v>
      </c>
    </row>
    <row r="91" customFormat="false" ht="15" hidden="false" customHeight="false" outlineLevel="0" collapsed="false">
      <c r="A91" s="10" t="s">
        <v>15</v>
      </c>
      <c r="B91" s="11" t="s">
        <v>403</v>
      </c>
      <c r="C91" s="10" t="s">
        <v>404</v>
      </c>
      <c r="D91" s="10" t="s">
        <v>405</v>
      </c>
      <c r="E91" s="10" t="s">
        <v>81</v>
      </c>
      <c r="F91" s="10" t="str">
        <f aca="false">IF(E91="Global","No","Yes (cas/jnb)")</f>
        <v>Yes (cas/jnb)</v>
      </c>
      <c r="G91" s="10" t="s">
        <v>59</v>
      </c>
      <c r="H91" s="15" t="s">
        <v>60</v>
      </c>
      <c r="I91" s="14" t="s">
        <v>406</v>
      </c>
    </row>
    <row r="92" customFormat="false" ht="23.85" hidden="false" customHeight="false" outlineLevel="0" collapsed="false">
      <c r="A92" s="10" t="s">
        <v>15</v>
      </c>
      <c r="B92" s="11" t="s">
        <v>407</v>
      </c>
      <c r="C92" s="10" t="s">
        <v>408</v>
      </c>
      <c r="D92" s="10" t="s">
        <v>409</v>
      </c>
      <c r="E92" s="10" t="s">
        <v>81</v>
      </c>
      <c r="F92" s="10" t="str">
        <f aca="false">IF(E92="Global","No","Yes (cas/jnb)")</f>
        <v>Yes (cas/jnb)</v>
      </c>
      <c r="G92" s="12" t="s">
        <v>44</v>
      </c>
      <c r="H92" s="13" t="s">
        <v>410</v>
      </c>
      <c r="I92" s="14" t="s">
        <v>411</v>
      </c>
    </row>
    <row r="93" customFormat="false" ht="15" hidden="false" customHeight="false" outlineLevel="0" collapsed="false">
      <c r="A93" s="10" t="s">
        <v>15</v>
      </c>
      <c r="B93" s="11" t="s">
        <v>412</v>
      </c>
      <c r="C93" s="10" t="s">
        <v>413</v>
      </c>
      <c r="D93" s="10" t="s">
        <v>414</v>
      </c>
      <c r="E93" s="10" t="s">
        <v>81</v>
      </c>
      <c r="F93" s="10" t="str">
        <f aca="false">IF(E93="Global","No","Yes (cas/jnb)")</f>
        <v>Yes (cas/jnb)</v>
      </c>
      <c r="G93" s="12" t="s">
        <v>44</v>
      </c>
      <c r="H93" s="13" t="s">
        <v>415</v>
      </c>
      <c r="I93" s="14" t="s">
        <v>416</v>
      </c>
    </row>
    <row r="94" customFormat="false" ht="15" hidden="false" customHeight="false" outlineLevel="0" collapsed="false">
      <c r="A94" s="10" t="s">
        <v>15</v>
      </c>
      <c r="B94" s="11" t="s">
        <v>417</v>
      </c>
      <c r="C94" s="10" t="s">
        <v>418</v>
      </c>
      <c r="D94" s="10" t="s">
        <v>419</v>
      </c>
      <c r="E94" s="10" t="s">
        <v>81</v>
      </c>
      <c r="F94" s="10" t="str">
        <f aca="false">IF(E94="Global","No","Yes (cas/jnb)")</f>
        <v>Yes (cas/jnb)</v>
      </c>
      <c r="G94" s="10" t="s">
        <v>59</v>
      </c>
      <c r="H94" s="15" t="s">
        <v>60</v>
      </c>
      <c r="I94" s="14" t="s">
        <v>420</v>
      </c>
    </row>
    <row r="95" customFormat="false" ht="15" hidden="false" customHeight="false" outlineLevel="0" collapsed="false">
      <c r="A95" s="10" t="s">
        <v>15</v>
      </c>
      <c r="B95" s="11" t="s">
        <v>421</v>
      </c>
      <c r="C95" s="10" t="s">
        <v>422</v>
      </c>
      <c r="D95" s="10" t="s">
        <v>423</v>
      </c>
      <c r="E95" s="10" t="s">
        <v>81</v>
      </c>
      <c r="F95" s="10" t="str">
        <f aca="false">IF(E95="Global","No","Yes (cas/jnb)")</f>
        <v>Yes (cas/jnb)</v>
      </c>
      <c r="G95" s="10" t="s">
        <v>59</v>
      </c>
      <c r="H95" s="15" t="s">
        <v>60</v>
      </c>
      <c r="I95" s="14" t="s">
        <v>424</v>
      </c>
    </row>
    <row r="96" customFormat="false" ht="15" hidden="false" customHeight="false" outlineLevel="0" collapsed="false">
      <c r="A96" s="10" t="s">
        <v>15</v>
      </c>
      <c r="B96" s="11" t="s">
        <v>425</v>
      </c>
      <c r="C96" s="10" t="s">
        <v>426</v>
      </c>
      <c r="D96" s="10" t="s">
        <v>427</v>
      </c>
      <c r="E96" s="10" t="s">
        <v>81</v>
      </c>
      <c r="F96" s="10" t="str">
        <f aca="false">IF(E96="Global","No","Yes (cas/jnb)")</f>
        <v>Yes (cas/jnb)</v>
      </c>
      <c r="G96" s="10" t="s">
        <v>59</v>
      </c>
      <c r="H96" s="15" t="s">
        <v>60</v>
      </c>
      <c r="I96" s="14" t="s">
        <v>428</v>
      </c>
    </row>
    <row r="97" customFormat="false" ht="15" hidden="false" customHeight="false" outlineLevel="0" collapsed="false">
      <c r="A97" s="10" t="s">
        <v>15</v>
      </c>
      <c r="B97" s="11" t="s">
        <v>429</v>
      </c>
      <c r="C97" s="10" t="s">
        <v>430</v>
      </c>
      <c r="D97" s="10" t="s">
        <v>431</v>
      </c>
      <c r="E97" s="10" t="s">
        <v>81</v>
      </c>
      <c r="F97" s="10" t="str">
        <f aca="false">IF(E97="Global","No","Yes (cas/jnb)")</f>
        <v>Yes (cas/jnb)</v>
      </c>
      <c r="G97" s="10" t="s">
        <v>59</v>
      </c>
      <c r="H97" s="15" t="s">
        <v>60</v>
      </c>
      <c r="I97" s="14" t="s">
        <v>432</v>
      </c>
    </row>
    <row r="98" customFormat="false" ht="15" hidden="false" customHeight="false" outlineLevel="0" collapsed="false">
      <c r="A98" s="5" t="s">
        <v>16</v>
      </c>
      <c r="B98" s="16" t="s">
        <v>433</v>
      </c>
      <c r="C98" s="5" t="s">
        <v>434</v>
      </c>
      <c r="D98" s="5" t="s">
        <v>435</v>
      </c>
      <c r="E98" s="5" t="s">
        <v>81</v>
      </c>
      <c r="F98" s="5" t="str">
        <f aca="false">IF(E98="Global","No","Yes (cas/jnb)")</f>
        <v>Yes (cas/jnb)</v>
      </c>
      <c r="G98" s="5" t="s">
        <v>59</v>
      </c>
      <c r="H98" s="8" t="s">
        <v>60</v>
      </c>
      <c r="I98" s="17" t="s">
        <v>436</v>
      </c>
    </row>
    <row r="99" customFormat="false" ht="15" hidden="false" customHeight="false" outlineLevel="0" collapsed="false">
      <c r="A99" s="5" t="s">
        <v>16</v>
      </c>
      <c r="B99" s="16" t="s">
        <v>437</v>
      </c>
      <c r="C99" s="5" t="s">
        <v>438</v>
      </c>
      <c r="D99" s="5" t="s">
        <v>439</v>
      </c>
      <c r="E99" s="5" t="s">
        <v>81</v>
      </c>
      <c r="F99" s="5" t="str">
        <f aca="false">IF(E99="Global","No","Yes (cas/jnb)")</f>
        <v>Yes (cas/jnb)</v>
      </c>
      <c r="G99" s="5" t="s">
        <v>59</v>
      </c>
      <c r="H99" s="8" t="s">
        <v>60</v>
      </c>
      <c r="I99" s="17" t="s">
        <v>440</v>
      </c>
    </row>
    <row r="100" customFormat="false" ht="15" hidden="false" customHeight="false" outlineLevel="0" collapsed="false">
      <c r="A100" s="5" t="s">
        <v>16</v>
      </c>
      <c r="B100" s="16" t="s">
        <v>441</v>
      </c>
      <c r="C100" s="5" t="s">
        <v>442</v>
      </c>
      <c r="D100" s="5" t="s">
        <v>443</v>
      </c>
      <c r="E100" s="5" t="s">
        <v>81</v>
      </c>
      <c r="F100" s="5" t="str">
        <f aca="false">IF(E100="Global","No","Yes (cas/jnb)")</f>
        <v>Yes (cas/jnb)</v>
      </c>
      <c r="G100" s="5" t="s">
        <v>59</v>
      </c>
      <c r="H100" s="8" t="s">
        <v>60</v>
      </c>
      <c r="I100" s="17" t="s">
        <v>444</v>
      </c>
    </row>
    <row r="101" customFormat="false" ht="15" hidden="false" customHeight="false" outlineLevel="0" collapsed="false">
      <c r="A101" s="5" t="s">
        <v>16</v>
      </c>
      <c r="B101" s="16" t="s">
        <v>445</v>
      </c>
      <c r="C101" s="5" t="s">
        <v>446</v>
      </c>
      <c r="D101" s="5" t="s">
        <v>447</v>
      </c>
      <c r="E101" s="5" t="s">
        <v>81</v>
      </c>
      <c r="F101" s="5" t="str">
        <f aca="false">IF(E101="Global","No","Yes (cas/jnb)")</f>
        <v>Yes (cas/jnb)</v>
      </c>
      <c r="G101" s="5" t="s">
        <v>59</v>
      </c>
      <c r="H101" s="8" t="s">
        <v>60</v>
      </c>
      <c r="I101" s="17" t="s">
        <v>448</v>
      </c>
    </row>
    <row r="102" customFormat="false" ht="15" hidden="false" customHeight="false" outlineLevel="0" collapsed="false">
      <c r="A102" s="5" t="s">
        <v>16</v>
      </c>
      <c r="B102" s="16" t="s">
        <v>449</v>
      </c>
      <c r="C102" s="5" t="s">
        <v>450</v>
      </c>
      <c r="D102" s="5" t="s">
        <v>451</v>
      </c>
      <c r="E102" s="5" t="s">
        <v>81</v>
      </c>
      <c r="F102" s="5" t="str">
        <f aca="false">IF(E102="Global","No","Yes (cas/jnb)")</f>
        <v>Yes (cas/jnb)</v>
      </c>
      <c r="G102" s="5" t="s">
        <v>59</v>
      </c>
      <c r="H102" s="8" t="s">
        <v>60</v>
      </c>
      <c r="I102" s="17" t="s">
        <v>452</v>
      </c>
    </row>
    <row r="103" customFormat="false" ht="15" hidden="false" customHeight="false" outlineLevel="0" collapsed="false">
      <c r="A103" s="5" t="s">
        <v>16</v>
      </c>
      <c r="B103" s="16" t="s">
        <v>453</v>
      </c>
      <c r="C103" s="5" t="s">
        <v>454</v>
      </c>
      <c r="D103" s="5" t="s">
        <v>455</v>
      </c>
      <c r="E103" s="5" t="s">
        <v>81</v>
      </c>
      <c r="F103" s="5" t="str">
        <f aca="false">IF(E103="Global","No","Yes (cas/jnb)")</f>
        <v>Yes (cas/jnb)</v>
      </c>
      <c r="G103" s="5" t="s">
        <v>59</v>
      </c>
      <c r="H103" s="8" t="s">
        <v>60</v>
      </c>
      <c r="I103" s="17" t="s">
        <v>456</v>
      </c>
    </row>
    <row r="104" customFormat="false" ht="15" hidden="false" customHeight="false" outlineLevel="0" collapsed="false">
      <c r="A104" s="5" t="s">
        <v>16</v>
      </c>
      <c r="B104" s="16" t="s">
        <v>457</v>
      </c>
      <c r="C104" s="5" t="s">
        <v>458</v>
      </c>
      <c r="D104" s="5" t="s">
        <v>459</v>
      </c>
      <c r="E104" s="5" t="s">
        <v>81</v>
      </c>
      <c r="F104" s="5" t="str">
        <f aca="false">IF(E104="Global","No","Yes (cas/jnb)")</f>
        <v>Yes (cas/jnb)</v>
      </c>
      <c r="G104" s="5" t="s">
        <v>59</v>
      </c>
      <c r="H104" s="8" t="s">
        <v>60</v>
      </c>
      <c r="I104" s="17" t="s">
        <v>460</v>
      </c>
    </row>
    <row r="105" customFormat="false" ht="15" hidden="false" customHeight="false" outlineLevel="0" collapsed="false">
      <c r="A105" s="5" t="s">
        <v>16</v>
      </c>
      <c r="B105" s="16" t="s">
        <v>461</v>
      </c>
      <c r="C105" s="5" t="s">
        <v>462</v>
      </c>
      <c r="D105" s="5" t="s">
        <v>463</v>
      </c>
      <c r="E105" s="5" t="s">
        <v>81</v>
      </c>
      <c r="F105" s="5" t="str">
        <f aca="false">IF(E105="Global","No","Yes (cas/jnb)")</f>
        <v>Yes (cas/jnb)</v>
      </c>
      <c r="G105" s="5" t="s">
        <v>59</v>
      </c>
      <c r="H105" s="8" t="s">
        <v>60</v>
      </c>
      <c r="I105" s="17" t="s">
        <v>464</v>
      </c>
    </row>
    <row r="106" customFormat="false" ht="15" hidden="false" customHeight="false" outlineLevel="0" collapsed="false">
      <c r="A106" s="5" t="s">
        <v>16</v>
      </c>
      <c r="B106" s="16" t="s">
        <v>465</v>
      </c>
      <c r="C106" s="5" t="s">
        <v>466</v>
      </c>
      <c r="D106" s="5" t="s">
        <v>467</v>
      </c>
      <c r="E106" s="5" t="s">
        <v>81</v>
      </c>
      <c r="F106" s="5" t="str">
        <f aca="false">IF(E106="Global","No","Yes (cas/jnb)")</f>
        <v>Yes (cas/jnb)</v>
      </c>
      <c r="G106" s="5" t="s">
        <v>59</v>
      </c>
      <c r="H106" s="8" t="s">
        <v>60</v>
      </c>
      <c r="I106" s="17" t="s">
        <v>468</v>
      </c>
    </row>
    <row r="107" customFormat="false" ht="23.85" hidden="false" customHeight="false" outlineLevel="0" collapsed="false">
      <c r="A107" s="10" t="s">
        <v>17</v>
      </c>
      <c r="B107" s="11" t="s">
        <v>469</v>
      </c>
      <c r="C107" s="10" t="s">
        <v>470</v>
      </c>
      <c r="D107" s="10" t="s">
        <v>471</v>
      </c>
      <c r="E107" s="10" t="s">
        <v>81</v>
      </c>
      <c r="F107" s="10" t="str">
        <f aca="false">IF(E107="Global","No","Yes (cas/jnb)")</f>
        <v>Yes (cas/jnb)</v>
      </c>
      <c r="G107" s="10" t="s">
        <v>59</v>
      </c>
      <c r="H107" s="15" t="s">
        <v>60</v>
      </c>
      <c r="I107" s="14" t="s">
        <v>472</v>
      </c>
    </row>
    <row r="108" customFormat="false" ht="23.85" hidden="false" customHeight="false" outlineLevel="0" collapsed="false">
      <c r="A108" s="10" t="s">
        <v>17</v>
      </c>
      <c r="B108" s="11" t="s">
        <v>473</v>
      </c>
      <c r="C108" s="10" t="s">
        <v>474</v>
      </c>
      <c r="D108" s="10" t="s">
        <v>475</v>
      </c>
      <c r="E108" s="10" t="s">
        <v>81</v>
      </c>
      <c r="F108" s="10" t="str">
        <f aca="false">IF(E108="Global","No","Yes (cas/jnb)")</f>
        <v>Yes (cas/jnb)</v>
      </c>
      <c r="G108" s="10" t="s">
        <v>59</v>
      </c>
      <c r="H108" s="15" t="s">
        <v>60</v>
      </c>
      <c r="I108" s="14" t="s">
        <v>476</v>
      </c>
    </row>
    <row r="109" customFormat="false" ht="23.85" hidden="false" customHeight="false" outlineLevel="0" collapsed="false">
      <c r="A109" s="10" t="s">
        <v>17</v>
      </c>
      <c r="B109" s="11" t="s">
        <v>477</v>
      </c>
      <c r="C109" s="10" t="s">
        <v>478</v>
      </c>
      <c r="D109" s="10" t="s">
        <v>479</v>
      </c>
      <c r="E109" s="10" t="s">
        <v>81</v>
      </c>
      <c r="F109" s="10" t="str">
        <f aca="false">IF(E109="Global","No","Yes (cas/jnb)")</f>
        <v>Yes (cas/jnb)</v>
      </c>
      <c r="G109" s="10" t="s">
        <v>59</v>
      </c>
      <c r="H109" s="15" t="s">
        <v>60</v>
      </c>
      <c r="I109" s="14" t="s">
        <v>480</v>
      </c>
    </row>
    <row r="110" customFormat="false" ht="23.85" hidden="false" customHeight="false" outlineLevel="0" collapsed="false">
      <c r="A110" s="10" t="s">
        <v>17</v>
      </c>
      <c r="B110" s="11" t="s">
        <v>481</v>
      </c>
      <c r="C110" s="10" t="s">
        <v>482</v>
      </c>
      <c r="D110" s="10" t="s">
        <v>483</v>
      </c>
      <c r="E110" s="10" t="s">
        <v>81</v>
      </c>
      <c r="F110" s="10" t="str">
        <f aca="false">IF(E110="Global","No","Yes (cas/jnb)")</f>
        <v>Yes (cas/jnb)</v>
      </c>
      <c r="G110" s="10" t="s">
        <v>59</v>
      </c>
      <c r="H110" s="15" t="s">
        <v>60</v>
      </c>
      <c r="I110" s="14" t="s">
        <v>484</v>
      </c>
    </row>
    <row r="111" customFormat="false" ht="23.85" hidden="false" customHeight="false" outlineLevel="0" collapsed="false">
      <c r="A111" s="10" t="s">
        <v>17</v>
      </c>
      <c r="B111" s="11" t="s">
        <v>485</v>
      </c>
      <c r="C111" s="10" t="s">
        <v>486</v>
      </c>
      <c r="D111" s="10" t="s">
        <v>487</v>
      </c>
      <c r="E111" s="10" t="s">
        <v>81</v>
      </c>
      <c r="F111" s="10" t="str">
        <f aca="false">IF(E111="Global","No","Yes (cas/jnb)")</f>
        <v>Yes (cas/jnb)</v>
      </c>
      <c r="G111" s="10" t="s">
        <v>59</v>
      </c>
      <c r="H111" s="15" t="s">
        <v>60</v>
      </c>
      <c r="I111" s="14" t="s">
        <v>488</v>
      </c>
    </row>
    <row r="112" customFormat="false" ht="23.85" hidden="false" customHeight="false" outlineLevel="0" collapsed="false">
      <c r="A112" s="10" t="s">
        <v>17</v>
      </c>
      <c r="B112" s="11" t="s">
        <v>489</v>
      </c>
      <c r="C112" s="10" t="s">
        <v>490</v>
      </c>
      <c r="D112" s="10" t="s">
        <v>491</v>
      </c>
      <c r="E112" s="10" t="s">
        <v>81</v>
      </c>
      <c r="F112" s="10" t="str">
        <f aca="false">IF(E112="Global","No","Yes (cas/jnb)")</f>
        <v>Yes (cas/jnb)</v>
      </c>
      <c r="G112" s="10" t="s">
        <v>59</v>
      </c>
      <c r="H112" s="15" t="s">
        <v>60</v>
      </c>
      <c r="I112" s="14" t="s">
        <v>492</v>
      </c>
    </row>
    <row r="113" customFormat="false" ht="23.85" hidden="false" customHeight="false" outlineLevel="0" collapsed="false">
      <c r="A113" s="10" t="s">
        <v>17</v>
      </c>
      <c r="B113" s="11" t="s">
        <v>493</v>
      </c>
      <c r="C113" s="10" t="s">
        <v>494</v>
      </c>
      <c r="D113" s="10" t="s">
        <v>495</v>
      </c>
      <c r="E113" s="10" t="s">
        <v>81</v>
      </c>
      <c r="F113" s="10" t="str">
        <f aca="false">IF(E113="Global","No","Yes (cas/jnb)")</f>
        <v>Yes (cas/jnb)</v>
      </c>
      <c r="G113" s="10" t="s">
        <v>59</v>
      </c>
      <c r="H113" s="15" t="s">
        <v>60</v>
      </c>
      <c r="I113" s="14" t="s">
        <v>496</v>
      </c>
    </row>
  </sheetData>
  <autoFilter ref="A4:I1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2026-09-28T11:40:52Z</dcterms:created>
  <dc:creator>openpyxl</dc:creator>
  <dc:description/>
  <dc:language>en-US</dc:language>
  <cp:lastModifiedBy/>
  <dcterms:modified xsi:type="dcterms:W3CDTF">2026-09-28T11:40:52Z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