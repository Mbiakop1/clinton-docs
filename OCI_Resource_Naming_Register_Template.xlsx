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4335D25-1EB7-41E8-A6CE-2E63ED29592F}" xr6:coauthVersionLast="47" xr6:coauthVersionMax="47" xr10:uidLastSave="{00000000-0000-0000-0000-000000000000}"/>
  <bookViews>
    <workbookView xWindow="1884" yWindow="1884" windowWidth="17280" windowHeight="8880" xr2:uid="{8F183E43-07F2-40CD-8094-562AF823F1F5}"/>
  </bookViews>
  <sheets>
    <sheet name="How to use" sheetId="1" r:id="rId1"/>
    <sheet name="Naming Register" sheetId="2" r:id="rId2"/>
    <sheet name="Compartments" sheetId="3" r:id="rId3"/>
    <sheet name="Codes" sheetId="4" r:id="rId4"/>
    <sheet name="Change Log" sheetId="5" r:id="rId5"/>
  </sheets>
  <definedNames>
    <definedName name="_xlnm._FilterDatabase" localSheetId="1" hidden="1">'Naming Register'!$A$4:$Q$304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1" i="2" l="1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F8" i="3"/>
  <c r="F15" i="3"/>
  <c r="F16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D7" i="3"/>
  <c r="D8" i="3"/>
  <c r="D9" i="3"/>
  <c r="F9" i="3" s="1"/>
  <c r="D10" i="3"/>
  <c r="F10" i="3" s="1"/>
  <c r="D11" i="3"/>
  <c r="D12" i="3"/>
  <c r="F19" i="3" s="1"/>
  <c r="D13" i="3"/>
  <c r="F13" i="3" s="1"/>
  <c r="D14" i="3"/>
  <c r="F14" i="3" s="1"/>
  <c r="D15" i="3"/>
  <c r="D16" i="3"/>
  <c r="D17" i="3"/>
  <c r="F17" i="3" s="1"/>
  <c r="D18" i="3"/>
  <c r="F18" i="3" s="1"/>
  <c r="D19" i="3"/>
  <c r="D20" i="3"/>
  <c r="F20" i="3" s="1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F7" i="3" l="1"/>
  <c r="F12" i="3"/>
  <c r="N5" i="2"/>
  <c r="F11" i="3"/>
  <c r="N10" i="2"/>
  <c r="N9" i="2"/>
  <c r="N8" i="2"/>
  <c r="N7" i="2"/>
  <c r="N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4" authorId="0" shapeId="0" xr:uid="{D38E7FDB-5A30-4F08-A767-18296F2916A7}">
      <text>
        <r>
          <rPr>
            <b/>
            <sz val="9"/>
            <color indexed="81"/>
            <rFont val="Tahoma"/>
            <family val="2"/>
          </rPr>
          <t>Pick the type code. The OCI resource name and allowed qualifiers fill in automatically.</t>
        </r>
      </text>
    </comment>
    <comment ref="L4" authorId="0" shapeId="0" xr:uid="{9D4A15D9-C297-4FF7-A387-FEC732D2C495}">
      <text>
        <r>
          <rPr>
            <b/>
            <sz val="9"/>
            <color indexed="81"/>
            <rFont val="Tahoma"/>
            <family val="2"/>
          </rPr>
          <t>Sequence number. Leave blank for 01. Custom images use the build date (e.g. 20260915).</t>
        </r>
      </text>
    </comment>
    <comment ref="O4" authorId="0" shapeId="0" xr:uid="{8628E227-8B25-497D-9573-D53B2D5E8501}">
      <text>
        <r>
          <rPr>
            <b/>
            <sz val="9"/>
            <color indexed="81"/>
            <rFont val="Tahoma"/>
            <family val="2"/>
          </rPr>
          <t>Only where OCI limits the field: VCN DNS label / hostname = Compact Name &lt;org&gt;&lt;e&gt;&lt;rgn&gt;&lt;app&gt;&lt;nn&gt; (max 15, e.g. cmrpcascbs01); subnet DNS label = &lt;qual&gt;&lt;nn&gt;; Oracle DB_NAME = &lt;app&gt;&lt;e&gt;&lt;n&gt; (max 8, e.g. cbsp1).</t>
        </r>
      </text>
    </comment>
  </commentList>
</comments>
</file>

<file path=xl/sharedStrings.xml><?xml version="1.0" encoding="utf-8"?>
<sst xmlns="http://schemas.openxmlformats.org/spreadsheetml/2006/main" count="863" uniqueCount="388">
  <si>
    <t>Codes</t>
  </si>
  <si>
    <t>Approved values from the OCI Naming Standard (cmr). Feeds the drop-downs. Add new app codes only after the Application Register owner approves them.</t>
  </si>
  <si>
    <t>Organisation</t>
  </si>
  <si>
    <t>cmr</t>
  </si>
  <si>
    <t>Environment</t>
  </si>
  <si>
    <t>Region</t>
  </si>
  <si>
    <t>Application</t>
  </si>
  <si>
    <t>Resource types (copied from OCI_Naming_Resource_Type_Codes.xlsx)</t>
  </si>
  <si>
    <t>Code</t>
  </si>
  <si>
    <t>Meaning</t>
  </si>
  <si>
    <t>dev</t>
  </si>
  <si>
    <t>Development</t>
  </si>
  <si>
    <t>uat</t>
  </si>
  <si>
    <t>User acceptance testing</t>
  </si>
  <si>
    <t>prd</t>
  </si>
  <si>
    <t>Production (incl. DR copies)</t>
  </si>
  <si>
    <t>OCI region</t>
  </si>
  <si>
    <t>cas</t>
  </si>
  <si>
    <t>af-casablanca-1 (primary)</t>
  </si>
  <si>
    <t>jnb</t>
  </si>
  <si>
    <t>af-johannesburg-1 (DR)</t>
  </si>
  <si>
    <t>cbs</t>
  </si>
  <si>
    <t>Core Banking System</t>
  </si>
  <si>
    <t>pay</t>
  </si>
  <si>
    <t>Payments platform</t>
  </si>
  <si>
    <t>hub</t>
  </si>
  <si>
    <t>Network hub (shared - proposed)</t>
  </si>
  <si>
    <t>net</t>
  </si>
  <si>
    <t>Shared network services (proposed)</t>
  </si>
  <si>
    <t>soc</t>
  </si>
  <si>
    <t>Security tooling (proposed)</t>
  </si>
  <si>
    <t>obs</t>
  </si>
  <si>
    <t>Observability (proposed)</t>
  </si>
  <si>
    <t>kms</t>
  </si>
  <si>
    <t>Key management (proposed)</t>
  </si>
  <si>
    <t>Type code</t>
  </si>
  <si>
    <t>OCI resource</t>
  </si>
  <si>
    <t>Area</t>
  </si>
  <si>
    <t>Scope</t>
  </si>
  <si>
    <t>Qualifier</t>
  </si>
  <si>
    <t>Allowed qualifier codes (select one)</t>
  </si>
  <si>
    <t>pol</t>
  </si>
  <si>
    <t>IAM policy</t>
  </si>
  <si>
    <t>Identity and governance</t>
  </si>
  <si>
    <t>Global</t>
  </si>
  <si>
    <t>Required</t>
  </si>
  <si>
    <t>admin, oper, read, audit, deploy, brkgl</t>
  </si>
  <si>
    <t>grp</t>
  </si>
  <si>
    <t>IAM group</t>
  </si>
  <si>
    <t>dgp</t>
  </si>
  <si>
    <t>Dynamic group</t>
  </si>
  <si>
    <t>fn, vm, oke, adb, dis, dfa, apg</t>
  </si>
  <si>
    <t>idd</t>
  </si>
  <si>
    <t>Identity domain</t>
  </si>
  <si>
    <t>None</t>
  </si>
  <si>
    <t>-</t>
  </si>
  <si>
    <t>qta</t>
  </si>
  <si>
    <t>Quota policy</t>
  </si>
  <si>
    <t>bgt</t>
  </si>
  <si>
    <t>Budget</t>
  </si>
  <si>
    <t>szn</t>
  </si>
  <si>
    <t>Security zone</t>
  </si>
  <si>
    <t>cgt</t>
  </si>
  <si>
    <t>Cloud Guard target</t>
  </si>
  <si>
    <t>vcn</t>
  </si>
  <si>
    <t>Virtual cloud network</t>
  </si>
  <si>
    <t>Networking</t>
  </si>
  <si>
    <t>Regional</t>
  </si>
  <si>
    <t>snt</t>
  </si>
  <si>
    <t>Subnet</t>
  </si>
  <si>
    <t>dmz, lb, web, app, db, wrk, kapi, pod, mgmt, pe, fw, itg</t>
  </si>
  <si>
    <t>nsg</t>
  </si>
  <si>
    <t>Network security group</t>
  </si>
  <si>
    <t>scl</t>
  </si>
  <si>
    <t>Security list</t>
  </si>
  <si>
    <t>rtb</t>
  </si>
  <si>
    <t>Route table</t>
  </si>
  <si>
    <t>dmz, lb, web, app, db, wrk, kapi, pod, mgmt, pe, fw, itg, drg, igw</t>
  </si>
  <si>
    <t>dho</t>
  </si>
  <si>
    <t>DHCP options</t>
  </si>
  <si>
    <t>drg</t>
  </si>
  <si>
    <t>Dynamic routing gateway</t>
  </si>
  <si>
    <t>dra</t>
  </si>
  <si>
    <t>DRG attachment</t>
  </si>
  <si>
    <t>vcn, fcv, ips, rpc</t>
  </si>
  <si>
    <t>drt</t>
  </si>
  <si>
    <t>DRG route table / distribution</t>
  </si>
  <si>
    <t>igw</t>
  </si>
  <si>
    <t>Internet gateway</t>
  </si>
  <si>
    <t>ngw</t>
  </si>
  <si>
    <t>NAT gateway</t>
  </si>
  <si>
    <t>sgw</t>
  </si>
  <si>
    <t>Service gateway</t>
  </si>
  <si>
    <t>lpg</t>
  </si>
  <si>
    <t>Local peering gateway</t>
  </si>
  <si>
    <t>rpc</t>
  </si>
  <si>
    <t>Remote peering connection</t>
  </si>
  <si>
    <t>cas, jnb</t>
  </si>
  <si>
    <t>fcv</t>
  </si>
  <si>
    <t>FastConnect virtual circuit</t>
  </si>
  <si>
    <t>ips</t>
  </si>
  <si>
    <t>Site-to-Site VPN (IPSec)</t>
  </si>
  <si>
    <t>cpe</t>
  </si>
  <si>
    <t>Customer-premises equipment</t>
  </si>
  <si>
    <t>pip</t>
  </si>
  <si>
    <t>Reserved public IP</t>
  </si>
  <si>
    <t>lb</t>
  </si>
  <si>
    <t>Load balancer</t>
  </si>
  <si>
    <t>ext, int</t>
  </si>
  <si>
    <t>nlb</t>
  </si>
  <si>
    <t>Network load balancer</t>
  </si>
  <si>
    <t>nfw</t>
  </si>
  <si>
    <t>Network Firewall</t>
  </si>
  <si>
    <t>nfp</t>
  </si>
  <si>
    <t>Network Firewall policy</t>
  </si>
  <si>
    <t>dnv</t>
  </si>
  <si>
    <t>Private DNS view</t>
  </si>
  <si>
    <t>dre</t>
  </si>
  <si>
    <t>DNS resolver endpoint</t>
  </si>
  <si>
    <t>tsp</t>
  </si>
  <si>
    <t>Traffic steering policy</t>
  </si>
  <si>
    <t>pep</t>
  </si>
  <si>
    <t>Private endpoint</t>
  </si>
  <si>
    <t>vm</t>
  </si>
  <si>
    <t>VM instance</t>
  </si>
  <si>
    <t>Compute</t>
  </si>
  <si>
    <t>ol, rhel, win, ubu</t>
  </si>
  <si>
    <t>bm</t>
  </si>
  <si>
    <t>Bare metal instance</t>
  </si>
  <si>
    <t>icf</t>
  </si>
  <si>
    <t>Instance configuration</t>
  </si>
  <si>
    <t>ipl</t>
  </si>
  <si>
    <t>Instance pool</t>
  </si>
  <si>
    <t>asc</t>
  </si>
  <si>
    <t>Autoscaling configuration</t>
  </si>
  <si>
    <t>cln</t>
  </si>
  <si>
    <t>Cluster network</t>
  </si>
  <si>
    <t>img</t>
  </si>
  <si>
    <t>Custom image</t>
  </si>
  <si>
    <t>ol&lt;version&gt;, rhel&lt;version&gt;, win&lt;version&gt;, ubu&lt;version&gt;</t>
  </si>
  <si>
    <t>bov</t>
  </si>
  <si>
    <t>Boot volume (detached, kept)</t>
  </si>
  <si>
    <t>blv</t>
  </si>
  <si>
    <t>Block volume</t>
  </si>
  <si>
    <t>vgp</t>
  </si>
  <si>
    <t>Volume group</t>
  </si>
  <si>
    <t>bvp</t>
  </si>
  <si>
    <t>Volume backup policy</t>
  </si>
  <si>
    <t>dvh</t>
  </si>
  <si>
    <t>Dedicated VM host</t>
  </si>
  <si>
    <t>crv</t>
  </si>
  <si>
    <t>Capacity reservation</t>
  </si>
  <si>
    <t>cin</t>
  </si>
  <si>
    <t>Container instance</t>
  </si>
  <si>
    <t>osm</t>
  </si>
  <si>
    <t>OS Management Hub profile</t>
  </si>
  <si>
    <t>oke</t>
  </si>
  <si>
    <t>OKE cluster</t>
  </si>
  <si>
    <t>Kubernetes (OKE)</t>
  </si>
  <si>
    <t>onp</t>
  </si>
  <si>
    <t>Managed node pool</t>
  </si>
  <si>
    <t>vnp</t>
  </si>
  <si>
    <t>Virtual node pool</t>
  </si>
  <si>
    <t>adb</t>
  </si>
  <si>
    <t>Autonomous Database (serverless)</t>
  </si>
  <si>
    <t>Databases</t>
  </si>
  <si>
    <t>atp, adw, ajd, apx</t>
  </si>
  <si>
    <t>avc</t>
  </si>
  <si>
    <t>Autonomous VM cluster</t>
  </si>
  <si>
    <t>acd</t>
  </si>
  <si>
    <t>Autonomous container database</t>
  </si>
  <si>
    <t>dbs</t>
  </si>
  <si>
    <t>Base Database DB system</t>
  </si>
  <si>
    <t>si, rac</t>
  </si>
  <si>
    <t>dbh</t>
  </si>
  <si>
    <t>Database home</t>
  </si>
  <si>
    <t>exi</t>
  </si>
  <si>
    <t>Exadata infrastructure</t>
  </si>
  <si>
    <t>exc</t>
  </si>
  <si>
    <t>Exadata VM cluster</t>
  </si>
  <si>
    <t>mys</t>
  </si>
  <si>
    <t>MySQL HeatWave DB system</t>
  </si>
  <si>
    <t>si, ha</t>
  </si>
  <si>
    <t>pgs</t>
  </si>
  <si>
    <t>OCI Database with PostgreSQL</t>
  </si>
  <si>
    <t>nsq</t>
  </si>
  <si>
    <t>NoSQL table</t>
  </si>
  <si>
    <t>ogg</t>
  </si>
  <si>
    <t>GoldenGate deployment</t>
  </si>
  <si>
    <t>dsf</t>
  </si>
  <si>
    <t>Data Safe target</t>
  </si>
  <si>
    <t>bkt</t>
  </si>
  <si>
    <t>Object Storage bucket</t>
  </si>
  <si>
    <t>Storage</t>
  </si>
  <si>
    <t>data, log, bkp, arc, exp, raw, cur, tfs, aud</t>
  </si>
  <si>
    <t>fss</t>
  </si>
  <si>
    <t>File Storage file system</t>
  </si>
  <si>
    <t>mnt</t>
  </si>
  <si>
    <t>File Storage mount target</t>
  </si>
  <si>
    <t>vlt</t>
  </si>
  <si>
    <t>Vault</t>
  </si>
  <si>
    <t>Security</t>
  </si>
  <si>
    <t>key</t>
  </si>
  <si>
    <t>Master encryption key</t>
  </si>
  <si>
    <t>tde, bkt, blk, scrt, sgn, oke</t>
  </si>
  <si>
    <t>scrt</t>
  </si>
  <si>
    <t>Vault secret</t>
  </si>
  <si>
    <t>dbc, api, ssh, tls, svc, wlt</t>
  </si>
  <si>
    <t>cert</t>
  </si>
  <si>
    <t>Certificate</t>
  </si>
  <si>
    <t>ca</t>
  </si>
  <si>
    <t>Certificate authority</t>
  </si>
  <si>
    <t>bst</t>
  </si>
  <si>
    <t>Bastion</t>
  </si>
  <si>
    <t>waf</t>
  </si>
  <si>
    <t>WAF policy</t>
  </si>
  <si>
    <t>vsr</t>
  </si>
  <si>
    <t>Vulnerability scanning recipe</t>
  </si>
  <si>
    <t>apg</t>
  </si>
  <si>
    <t>API Gateway</t>
  </si>
  <si>
    <t>Integration and application services</t>
  </si>
  <si>
    <t>apd</t>
  </si>
  <si>
    <t>API deployment</t>
  </si>
  <si>
    <t>fna</t>
  </si>
  <si>
    <t>Functions application</t>
  </si>
  <si>
    <t>fn</t>
  </si>
  <si>
    <t>Function</t>
  </si>
  <si>
    <t>que</t>
  </si>
  <si>
    <t>Queue</t>
  </si>
  <si>
    <t>stp</t>
  </si>
  <si>
    <t>Stream pool</t>
  </si>
  <si>
    <t>stm</t>
  </si>
  <si>
    <t>Stream</t>
  </si>
  <si>
    <t>ons</t>
  </si>
  <si>
    <t>Notifications topic</t>
  </si>
  <si>
    <t>evr</t>
  </si>
  <si>
    <t>Events rule</t>
  </si>
  <si>
    <t>sch</t>
  </si>
  <si>
    <t>Connector Hub connector</t>
  </si>
  <si>
    <t>oic</t>
  </si>
  <si>
    <t>Oracle Integration instance</t>
  </si>
  <si>
    <t>lgg</t>
  </si>
  <si>
    <t>Log group</t>
  </si>
  <si>
    <t>Observability</t>
  </si>
  <si>
    <t>log</t>
  </si>
  <si>
    <t>Log</t>
  </si>
  <si>
    <t>flow, lb, apg, fn, waf, os, app, oke, aud</t>
  </si>
  <si>
    <t>alm</t>
  </si>
  <si>
    <t>Alarm</t>
  </si>
  <si>
    <t>cpu, mem, dsk, lat, err, avl, cap, lag</t>
  </si>
  <si>
    <t>dsh</t>
  </si>
  <si>
    <t>Dashboard</t>
  </si>
  <si>
    <t>apm</t>
  </si>
  <si>
    <t>APM domain</t>
  </si>
  <si>
    <t>hck</t>
  </si>
  <si>
    <t>Health check</t>
  </si>
  <si>
    <t>lga</t>
  </si>
  <si>
    <t>Logging Analytics log group</t>
  </si>
  <si>
    <t>dis</t>
  </si>
  <si>
    <t>Data Integration workspace</t>
  </si>
  <si>
    <t>Data and analytics</t>
  </si>
  <si>
    <t>dfa</t>
  </si>
  <si>
    <t>Data Flow application</t>
  </si>
  <si>
    <t>dfp</t>
  </si>
  <si>
    <t>Data Flow pool</t>
  </si>
  <si>
    <t>dsp</t>
  </si>
  <si>
    <t>Data Science project</t>
  </si>
  <si>
    <t>dsn</t>
  </si>
  <si>
    <t>Data Science notebook session</t>
  </si>
  <si>
    <t>dsm</t>
  </si>
  <si>
    <t>Data Science model deployment</t>
  </si>
  <si>
    <t>oac</t>
  </si>
  <si>
    <t>Analytics Cloud instance</t>
  </si>
  <si>
    <t>dct</t>
  </si>
  <si>
    <t>Data Catalog</t>
  </si>
  <si>
    <t>bds</t>
  </si>
  <si>
    <t>Big Data Service cluster</t>
  </si>
  <si>
    <t>dop</t>
  </si>
  <si>
    <t>DevOps project</t>
  </si>
  <si>
    <t>DevOps and disaster recovery</t>
  </si>
  <si>
    <t>bpl</t>
  </si>
  <si>
    <t>Build pipeline</t>
  </si>
  <si>
    <t>dpl</t>
  </si>
  <si>
    <t>Deployment pipeline</t>
  </si>
  <si>
    <t>crp</t>
  </si>
  <si>
    <t>Code repository</t>
  </si>
  <si>
    <t>arp</t>
  </si>
  <si>
    <t>Artifact repository</t>
  </si>
  <si>
    <t>stk</t>
  </si>
  <si>
    <t>Resource Manager stack</t>
  </si>
  <si>
    <t>dpg</t>
  </si>
  <si>
    <t>Full Stack DR protection group</t>
  </si>
  <si>
    <t>Allowed qualifier codes</t>
  </si>
  <si>
    <t>Compartments</t>
  </si>
  <si>
    <t>Compartment name = parent name + "-" + segment. No region, no type, no number. Segment: 2-5 lowercase characters.</t>
  </si>
  <si>
    <t>Root compartment = tenancy (name fixed at sign-up):</t>
  </si>
  <si>
    <t>&lt;- enter the tenancy name. No resources in root; break-glass admins only.</t>
  </si>
  <si>
    <t>Level</t>
  </si>
  <si>
    <t>Parent compartment</t>
  </si>
  <si>
    <t>Segment</t>
  </si>
  <si>
    <t>Compartment name</t>
  </si>
  <si>
    <t>Purpose and owning team</t>
  </si>
  <si>
    <t>Check</t>
  </si>
  <si>
    <t>plat</t>
  </si>
  <si>
    <t>cyv</t>
  </si>
  <si>
    <t>cmr-prd</t>
  </si>
  <si>
    <t>npd</t>
  </si>
  <si>
    <t>cmr-npd</t>
  </si>
  <si>
    <t>OCI Naming Register</t>
  </si>
  <si>
    <t>Pattern: cmr-&lt;env&gt;-&lt;rgn&gt;-&lt;type&gt;-&lt;app&gt;[-&lt;qual&gt;]-&lt;nn&gt;.  Yellow = fill in, grey = automatic, green = the name to use.  Check must read OK.</t>
  </si>
  <si>
    <t>ID</t>
  </si>
  <si>
    <t>Diagram ref</t>
  </si>
  <si>
    <t>Purpose</t>
  </si>
  <si>
    <t>Compartment</t>
  </si>
  <si>
    <t>Env</t>
  </si>
  <si>
    <t>App</t>
  </si>
  <si>
    <t>Allowed qualifiers</t>
  </si>
  <si>
    <t>No.</t>
  </si>
  <si>
    <t>RESOURCE NAME</t>
  </si>
  <si>
    <t>Short name / DNS label</t>
  </si>
  <si>
    <t>Status</t>
  </si>
  <si>
    <t>Notes</t>
  </si>
  <si>
    <t>RES-001</t>
  </si>
  <si>
    <t>D-01</t>
  </si>
  <si>
    <t>Production VCN for core banking</t>
  </si>
  <si>
    <t>cmr-prd-net</t>
  </si>
  <si>
    <t>cmrpcascbs01</t>
  </si>
  <si>
    <t>Draft</t>
  </si>
  <si>
    <t>EXAMPLE - DNS label = Compact Name (max 15)</t>
  </si>
  <si>
    <t>RES-002</t>
  </si>
  <si>
    <t>Database subnet</t>
  </si>
  <si>
    <t>db</t>
  </si>
  <si>
    <t>db01</t>
  </si>
  <si>
    <t>EXAMPLE - subnet DNS label = &lt;qual&gt;&lt;nn&gt;</t>
  </si>
  <si>
    <t>RES-003</t>
  </si>
  <si>
    <t>D-02</t>
  </si>
  <si>
    <t>Core banking application server</t>
  </si>
  <si>
    <t>cmr-prd-cbs</t>
  </si>
  <si>
    <t>ol</t>
  </si>
  <si>
    <t>EXAMPLE</t>
  </si>
  <si>
    <t>RES-004</t>
  </si>
  <si>
    <t>DR copy of RES-003 in Johannesburg</t>
  </si>
  <si>
    <t>EXAMPLE - DR = prd + other region</t>
  </si>
  <si>
    <t>RES-005</t>
  </si>
  <si>
    <t>D-03</t>
  </si>
  <si>
    <t>Payments UAT database</t>
  </si>
  <si>
    <t>cmr-npd-pay</t>
  </si>
  <si>
    <t>atp</t>
  </si>
  <si>
    <t>RES-006</t>
  </si>
  <si>
    <t>D-04</t>
  </si>
  <si>
    <t>Core banking operators policy</t>
  </si>
  <si>
    <t>oper</t>
  </si>
  <si>
    <t>EXAMPLE - global type: no region</t>
  </si>
  <si>
    <t>OCI Resource Naming Register - How to use</t>
  </si>
  <si>
    <t>Follows the OCI Naming Standard (cmr). Names only - tagging is out of scope for this phase.</t>
  </si>
  <si>
    <t>Version</t>
  </si>
  <si>
    <t>0.1 (draft)</t>
  </si>
  <si>
    <t>Owner</t>
  </si>
  <si>
    <t>Approver</t>
  </si>
  <si>
    <t>Architecture document</t>
  </si>
  <si>
    <t>Last updated</t>
  </si>
  <si>
    <t>Steps</t>
  </si>
  <si>
    <t>1.  Compartments tab: confirm the compartment tree and enter the tenancy name.</t>
  </si>
  <si>
    <t>2.  Naming Register tab: one row per resource on the architecture diagram, including ones the diagram does not draw (route tables, security lists, NSGs, policies, vault keys, log groups...).</t>
  </si>
  <si>
    <t>3.  Fill the yellow cells: ID, diagram ref, type code, purpose, compartment, env, region, app, qualifier, number.</t>
  </si>
  <si>
    <t>4.  The resource name appears in the green column. Do not type names by hand.</t>
  </si>
  <si>
    <t>5.  The Check column must read OK. If it doesn't, it tells you what to fix.</t>
  </si>
  <si>
    <t>6.  Short name / DNS label: fill only where OCI needs one (VCN, subnet, hostnames, Oracle DB name) - see the note on that header.</t>
  </si>
  <si>
    <t>7.  Set Status: Draft -&gt; Approved (after review) -&gt; Created (after the build).</t>
  </si>
  <si>
    <t>Rules to remember</t>
  </si>
  <si>
    <t>-  env: dev, uat or prd only. DR copies are prd with the other region (jnb).</t>
  </si>
  <si>
    <t>-  region: cas or jnb. Leave blank for global types (IAM policy, group, dynamic group, budget...).</t>
  </si>
  <si>
    <t>-  Qualifier: only when the type requires one; pick from the Allowed qualifiers column.</t>
  </si>
  <si>
    <t>-  The 6 rows marked EXAMPLE show the expected format - replace or delete them.</t>
  </si>
  <si>
    <t>-  New application codes must be approved by the Application Register owner before use (Codes tab).</t>
  </si>
  <si>
    <t>Colour</t>
  </si>
  <si>
    <t>Yellow</t>
  </si>
  <si>
    <t>Fill in</t>
  </si>
  <si>
    <t>Grey</t>
  </si>
  <si>
    <t>Automatic - do not type</t>
  </si>
  <si>
    <t>Green</t>
  </si>
  <si>
    <t>Final name to use</t>
  </si>
  <si>
    <t>Change Log</t>
  </si>
  <si>
    <t>Date</t>
  </si>
  <si>
    <t>Author</t>
  </si>
  <si>
    <t>Change</t>
  </si>
  <si>
    <t>Approved by</t>
  </si>
  <si>
    <t>Template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</si>
</sst>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rgb="FF1F3864"/>
      <name val="Arial"/>
      <family val="2"/>
    </font>
    <font>
      <i/>
      <sz val="10"/>
      <color theme="1"/>
      <name val="Arial"/>
      <family val="2"/>
    </font>
    <font>
      <i/>
      <sz val="10"/>
      <color rgb="FF595959"/>
      <name val="Arial"/>
      <family val="2"/>
    </font>
    <font>
      <b/>
      <sz val="10"/>
      <color theme="1"/>
      <name val="Arial"/>
      <family val="2"/>
    </font>
    <font>
      <b/>
      <sz val="10"/>
      <color rgb="FF1F3864"/>
      <name val="Arial"/>
      <family val="2"/>
    </font>
    <font>
      <b/>
      <sz val="10"/>
      <color rgb="FFFFFFFF"/>
      <name val="Arial"/>
      <family val="2"/>
    </font>
    <font>
      <sz val="8"/>
      <color theme="1"/>
      <name val="Arial"/>
      <family val="2"/>
    </font>
    <font>
      <i/>
      <sz val="8"/>
      <color theme="1"/>
      <name val="Arial"/>
      <family val="2"/>
    </font>
    <font>
      <b/>
      <i/>
      <sz val="10"/>
      <color theme="1"/>
      <name val="Arial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2" borderId="0" xfId="0" applyFont="1" applyFill="1"/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4" borderId="1" xfId="0" applyFont="1" applyFill="1" applyBorder="1"/>
    <xf numFmtId="49" fontId="1" fillId="0" borderId="1" xfId="0" applyNumberFormat="1" applyFont="1" applyBorder="1"/>
    <xf numFmtId="0" fontId="6" fillId="0" borderId="0" xfId="0" applyFont="1" applyAlignment="1"/>
    <xf numFmtId="0" fontId="1" fillId="0" borderId="0" xfId="0" applyFont="1" applyAlignment="1"/>
    <xf numFmtId="0" fontId="5" fillId="5" borderId="1" xfId="0" applyFont="1" applyFill="1" applyBorder="1"/>
    <xf numFmtId="0" fontId="1" fillId="2" borderId="1" xfId="0" applyFont="1" applyFill="1" applyBorder="1"/>
    <xf numFmtId="0" fontId="8" fillId="2" borderId="1" xfId="0" applyFont="1" applyFill="1" applyBorder="1"/>
    <xf numFmtId="0" fontId="3" fillId="4" borderId="1" xfId="0" applyFont="1" applyFill="1" applyBorder="1"/>
    <xf numFmtId="0" fontId="3" fillId="2" borderId="1" xfId="0" applyFont="1" applyFill="1" applyBorder="1"/>
    <xf numFmtId="0" fontId="9" fillId="2" borderId="1" xfId="0" applyFont="1" applyFill="1" applyBorder="1"/>
    <xf numFmtId="0" fontId="10" fillId="5" borderId="1" xfId="0" applyFont="1" applyFill="1" applyBorder="1"/>
    <xf numFmtId="0" fontId="1" fillId="0" borderId="1" xfId="0" applyFont="1" applyFill="1" applyBorder="1"/>
    <xf numFmtId="14" fontId="1" fillId="0" borderId="1" xfId="0" applyNumberFormat="1" applyFont="1" applyFill="1" applyBorder="1"/>
    <xf numFmtId="0" fontId="1" fillId="5" borderId="1" xfId="0" applyFont="1" applyFill="1" applyBorder="1"/>
    <xf numFmtId="14" fontId="1" fillId="0" borderId="1" xfId="0" applyNumberFormat="1" applyFont="1" applyBorder="1"/>
  </cellXfs>
  <cellStyles count="1">
    <cellStyle name="Normal" xfId="0" builtinId="0"/>
  </cellStyles>
  <dxfs count="2">
    <dxf>
      <font>
        <b/>
        <i val="0"/>
        <color rgb="FF9C0006"/>
      </font>
      <fill>
        <patternFill>
          <bgColor rgb="FFF8CBAD"/>
        </patternFill>
      </fill>
    </dxf>
    <dxf>
      <font>
        <b/>
        <i val="0"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D83F2-6E2B-42AE-997C-559607B9DCF8}">
  <dimension ref="A1:B29"/>
  <sheetViews>
    <sheetView showGridLines="0" tabSelected="1" workbookViewId="0"/>
  </sheetViews>
  <sheetFormatPr baseColWidth="10" defaultRowHeight="13.2" x14ac:dyDescent="0.25"/>
  <cols>
    <col min="1" max="1" width="24.77734375" style="1" customWidth="1"/>
    <col min="2" max="2" width="40.77734375" style="1" customWidth="1"/>
    <col min="3" max="16384" width="11.5546875" style="1"/>
  </cols>
  <sheetData>
    <row r="1" spans="1:2" ht="17.399999999999999" x14ac:dyDescent="0.3">
      <c r="A1" s="2" t="s">
        <v>353</v>
      </c>
    </row>
    <row r="2" spans="1:2" x14ac:dyDescent="0.25">
      <c r="A2" s="4" t="s">
        <v>354</v>
      </c>
    </row>
    <row r="4" spans="1:2" x14ac:dyDescent="0.25">
      <c r="A4" s="5" t="s">
        <v>355</v>
      </c>
      <c r="B4" s="21" t="s">
        <v>356</v>
      </c>
    </row>
    <row r="5" spans="1:2" x14ac:dyDescent="0.25">
      <c r="A5" s="5" t="s">
        <v>357</v>
      </c>
      <c r="B5" s="10"/>
    </row>
    <row r="6" spans="1:2" x14ac:dyDescent="0.25">
      <c r="A6" s="5" t="s">
        <v>358</v>
      </c>
      <c r="B6" s="10"/>
    </row>
    <row r="7" spans="1:2" x14ac:dyDescent="0.25">
      <c r="A7" s="5" t="s">
        <v>359</v>
      </c>
      <c r="B7" s="10"/>
    </row>
    <row r="8" spans="1:2" x14ac:dyDescent="0.25">
      <c r="A8" s="5" t="s">
        <v>360</v>
      </c>
      <c r="B8" s="22">
        <v>46300</v>
      </c>
    </row>
    <row r="10" spans="1:2" x14ac:dyDescent="0.25">
      <c r="A10" s="7" t="s">
        <v>361</v>
      </c>
    </row>
    <row r="11" spans="1:2" x14ac:dyDescent="0.25">
      <c r="A11" s="1" t="s">
        <v>362</v>
      </c>
    </row>
    <row r="12" spans="1:2" x14ac:dyDescent="0.25">
      <c r="A12" s="1" t="s">
        <v>363</v>
      </c>
    </row>
    <row r="13" spans="1:2" x14ac:dyDescent="0.25">
      <c r="A13" s="1" t="s">
        <v>364</v>
      </c>
    </row>
    <row r="14" spans="1:2" x14ac:dyDescent="0.25">
      <c r="A14" s="1" t="s">
        <v>365</v>
      </c>
    </row>
    <row r="15" spans="1:2" x14ac:dyDescent="0.25">
      <c r="A15" s="1" t="s">
        <v>366</v>
      </c>
    </row>
    <row r="16" spans="1:2" x14ac:dyDescent="0.25">
      <c r="A16" s="1" t="s">
        <v>367</v>
      </c>
    </row>
    <row r="17" spans="1:2" x14ac:dyDescent="0.25">
      <c r="A17" s="1" t="s">
        <v>368</v>
      </c>
    </row>
    <row r="19" spans="1:2" x14ac:dyDescent="0.25">
      <c r="A19" s="7" t="s">
        <v>369</v>
      </c>
    </row>
    <row r="20" spans="1:2" x14ac:dyDescent="0.25">
      <c r="A20" s="1" t="s">
        <v>370</v>
      </c>
    </row>
    <row r="21" spans="1:2" x14ac:dyDescent="0.25">
      <c r="A21" s="1" t="s">
        <v>371</v>
      </c>
    </row>
    <row r="22" spans="1:2" x14ac:dyDescent="0.25">
      <c r="A22" s="1" t="s">
        <v>372</v>
      </c>
    </row>
    <row r="23" spans="1:2" x14ac:dyDescent="0.25">
      <c r="A23" s="1" t="s">
        <v>373</v>
      </c>
    </row>
    <row r="24" spans="1:2" x14ac:dyDescent="0.25">
      <c r="A24" s="1" t="s">
        <v>374</v>
      </c>
    </row>
    <row r="26" spans="1:2" x14ac:dyDescent="0.25">
      <c r="A26" s="8" t="s">
        <v>375</v>
      </c>
      <c r="B26" s="8" t="s">
        <v>9</v>
      </c>
    </row>
    <row r="27" spans="1:2" x14ac:dyDescent="0.25">
      <c r="A27" s="10" t="s">
        <v>376</v>
      </c>
      <c r="B27" s="9" t="s">
        <v>377</v>
      </c>
    </row>
    <row r="28" spans="1:2" x14ac:dyDescent="0.25">
      <c r="A28" s="15" t="s">
        <v>378</v>
      </c>
      <c r="B28" s="9" t="s">
        <v>379</v>
      </c>
    </row>
    <row r="29" spans="1:2" x14ac:dyDescent="0.25">
      <c r="A29" s="23" t="s">
        <v>380</v>
      </c>
      <c r="B29" s="9" t="s">
        <v>381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5D3FD-8D37-4768-94DF-44D7EE5F5049}">
  <dimension ref="A1:Q304"/>
  <sheetViews>
    <sheetView showGridLines="0" workbookViewId="0">
      <pane xSplit="3" ySplit="4" topLeftCell="D5" activePane="bottomRight" state="frozenSplit"/>
      <selection pane="bottomLeft" activeCell="A5" sqref="A5"/>
      <selection pane="topRight" activeCell="D1" sqref="D1"/>
      <selection pane="bottomRight"/>
    </sheetView>
  </sheetViews>
  <sheetFormatPr baseColWidth="10" defaultRowHeight="13.2" x14ac:dyDescent="0.25"/>
  <cols>
    <col min="1" max="1" width="9.77734375" style="1" customWidth="1"/>
    <col min="2" max="2" width="10.77734375" style="1" customWidth="1"/>
    <col min="3" max="3" width="9.77734375" style="1" customWidth="1"/>
    <col min="4" max="4" width="26.77734375" style="1" customWidth="1"/>
    <col min="5" max="5" width="34.77734375" style="1" customWidth="1"/>
    <col min="6" max="6" width="16.77734375" style="1" customWidth="1"/>
    <col min="7" max="7" width="6.77734375" style="1" customWidth="1"/>
    <col min="8" max="9" width="7.77734375" style="1" customWidth="1"/>
    <col min="10" max="10" width="9.77734375" style="1" customWidth="1"/>
    <col min="11" max="11" width="22.77734375" style="1" customWidth="1"/>
    <col min="12" max="12" width="5.77734375" style="1" customWidth="1"/>
    <col min="13" max="13" width="32.77734375" style="1" customWidth="1"/>
    <col min="14" max="14" width="26.77734375" style="1" customWidth="1"/>
    <col min="15" max="15" width="18.77734375" style="1" customWidth="1"/>
    <col min="16" max="16" width="10.77734375" style="1" customWidth="1"/>
    <col min="17" max="17" width="40.77734375" style="1" customWidth="1"/>
    <col min="18" max="16384" width="11.5546875" style="1"/>
  </cols>
  <sheetData>
    <row r="1" spans="1:17" ht="17.399999999999999" x14ac:dyDescent="0.3">
      <c r="A1" s="2" t="s">
        <v>308</v>
      </c>
    </row>
    <row r="2" spans="1:17" x14ac:dyDescent="0.25">
      <c r="A2" s="4" t="s">
        <v>309</v>
      </c>
    </row>
    <row r="4" spans="1:17" ht="30" customHeight="1" x14ac:dyDescent="0.25">
      <c r="A4" s="8" t="s">
        <v>310</v>
      </c>
      <c r="B4" s="8" t="s">
        <v>311</v>
      </c>
      <c r="C4" s="8" t="s">
        <v>35</v>
      </c>
      <c r="D4" s="8" t="s">
        <v>36</v>
      </c>
      <c r="E4" s="8" t="s">
        <v>312</v>
      </c>
      <c r="F4" s="8" t="s">
        <v>313</v>
      </c>
      <c r="G4" s="8" t="s">
        <v>314</v>
      </c>
      <c r="H4" s="8" t="s">
        <v>5</v>
      </c>
      <c r="I4" s="8" t="s">
        <v>315</v>
      </c>
      <c r="J4" s="8" t="s">
        <v>39</v>
      </c>
      <c r="K4" s="8" t="s">
        <v>316</v>
      </c>
      <c r="L4" s="8" t="s">
        <v>317</v>
      </c>
      <c r="M4" s="8" t="s">
        <v>318</v>
      </c>
      <c r="N4" s="8" t="s">
        <v>302</v>
      </c>
      <c r="O4" s="8" t="s">
        <v>319</v>
      </c>
      <c r="P4" s="8" t="s">
        <v>320</v>
      </c>
      <c r="Q4" s="8" t="s">
        <v>321</v>
      </c>
    </row>
    <row r="5" spans="1:17" x14ac:dyDescent="0.25">
      <c r="A5" s="17" t="s">
        <v>322</v>
      </c>
      <c r="B5" s="17" t="s">
        <v>323</v>
      </c>
      <c r="C5" s="17" t="s">
        <v>64</v>
      </c>
      <c r="D5" s="18" t="str">
        <f>IF(C5="","",IFERROR(VLOOKUP(C5,Codes!$J$8:$O$117,2,FALSE),"Unknown type"))</f>
        <v>Virtual cloud network</v>
      </c>
      <c r="E5" s="17" t="s">
        <v>324</v>
      </c>
      <c r="F5" s="17" t="s">
        <v>325</v>
      </c>
      <c r="G5" s="17" t="s">
        <v>14</v>
      </c>
      <c r="H5" s="17" t="s">
        <v>17</v>
      </c>
      <c r="I5" s="17" t="s">
        <v>21</v>
      </c>
      <c r="J5" s="17"/>
      <c r="K5" s="19" t="str">
        <f>IF(C5="","",IFERROR(VLOOKUP(C5,Codes!$J$8:$O$117,6,FALSE),""))</f>
        <v>-</v>
      </c>
      <c r="L5" s="17">
        <v>1</v>
      </c>
      <c r="M5" s="20" t="str">
        <f>IF(C5="","",LOWER(Codes!$B$4&amp;"-"&amp;G5&amp;IF(H5="","","-"&amp;H5)&amp;"-"&amp;C5&amp;"-"&amp;I5&amp;IF(J5="","","-"&amp;J5)&amp;"-"&amp;IF(L5="","01",TEXT(L5,"00"))))</f>
        <v>cmr-prd-cas-vcn-cbs-01</v>
      </c>
      <c r="N5" s="18" t="str">
        <f>IF(C5="","",IF(ISNA(MATCH(C5,Codes!$J$8:$J$117,0)),"Unknown type code",IF(OR(G5="",I5=""),"Env and app required",IF(AND(VLOOKUP(C5,Codes!$J$8:$O$117,4,FALSE)="Global",H5&lt;&gt;""),"Global type: leave region blank",IF(AND(VLOOKUP(C5,Codes!$J$8:$O$117,4,FALSE)&lt;&gt;"Global",H5=""),"Region required",IF(AND(VLOOKUP(C5,Codes!$J$8:$O$117,5,FALSE)="Required",J5=""),"Qualifier required",IF(AND(VLOOKUP(C5,Codes!$J$8:$O$117,5,FALSE)="None",J5&lt;&gt;""),"This type takes no qualifier",IF(AND(J5&lt;&gt;"",VLOOKUP(C5,Codes!$J$8:$O$117,6,FALSE)&lt;&gt;"-",ISERROR(SEARCH(", "&amp;J5&amp;",",", "&amp;VLOOKUP(C5,Codes!$J$8:$O$117,6,FALSE)&amp;","))),"Qualifier not in allowed list",IF(COUNTIF($M$5:$M$304,M5)&gt;1,"Duplicate name","OK")))))))))</f>
        <v>OK</v>
      </c>
      <c r="O5" s="17" t="s">
        <v>326</v>
      </c>
      <c r="P5" s="17" t="s">
        <v>327</v>
      </c>
      <c r="Q5" s="17" t="s">
        <v>328</v>
      </c>
    </row>
    <row r="6" spans="1:17" x14ac:dyDescent="0.25">
      <c r="A6" s="17" t="s">
        <v>329</v>
      </c>
      <c r="B6" s="17" t="s">
        <v>323</v>
      </c>
      <c r="C6" s="17" t="s">
        <v>68</v>
      </c>
      <c r="D6" s="18" t="str">
        <f>IF(C6="","",IFERROR(VLOOKUP(C6,Codes!$J$8:$O$117,2,FALSE),"Unknown type"))</f>
        <v>Subnet</v>
      </c>
      <c r="E6" s="17" t="s">
        <v>330</v>
      </c>
      <c r="F6" s="17" t="s">
        <v>325</v>
      </c>
      <c r="G6" s="17" t="s">
        <v>14</v>
      </c>
      <c r="H6" s="17" t="s">
        <v>17</v>
      </c>
      <c r="I6" s="17" t="s">
        <v>21</v>
      </c>
      <c r="J6" s="17" t="s">
        <v>331</v>
      </c>
      <c r="K6" s="19" t="str">
        <f>IF(C6="","",IFERROR(VLOOKUP(C6,Codes!$J$8:$O$117,6,FALSE),""))</f>
        <v>dmz, lb, web, app, db, wrk, kapi, pod, mgmt, pe, fw, itg</v>
      </c>
      <c r="L6" s="17">
        <v>1</v>
      </c>
      <c r="M6" s="20" t="str">
        <f>IF(C6="","",LOWER(Codes!$B$4&amp;"-"&amp;G6&amp;IF(H6="","","-"&amp;H6)&amp;"-"&amp;C6&amp;"-"&amp;I6&amp;IF(J6="","","-"&amp;J6)&amp;"-"&amp;IF(L6="","01",TEXT(L6,"00"))))</f>
        <v>cmr-prd-cas-snt-cbs-db-01</v>
      </c>
      <c r="N6" s="18" t="str">
        <f>IF(C6="","",IF(ISNA(MATCH(C6,Codes!$J$8:$J$117,0)),"Unknown type code",IF(OR(G6="",I6=""),"Env and app required",IF(AND(VLOOKUP(C6,Codes!$J$8:$O$117,4,FALSE)="Global",H6&lt;&gt;""),"Global type: leave region blank",IF(AND(VLOOKUP(C6,Codes!$J$8:$O$117,4,FALSE)&lt;&gt;"Global",H6=""),"Region required",IF(AND(VLOOKUP(C6,Codes!$J$8:$O$117,5,FALSE)="Required",J6=""),"Qualifier required",IF(AND(VLOOKUP(C6,Codes!$J$8:$O$117,5,FALSE)="None",J6&lt;&gt;""),"This type takes no qualifier",IF(AND(J6&lt;&gt;"",VLOOKUP(C6,Codes!$J$8:$O$117,6,FALSE)&lt;&gt;"-",ISERROR(SEARCH(", "&amp;J6&amp;",",", "&amp;VLOOKUP(C6,Codes!$J$8:$O$117,6,FALSE)&amp;","))),"Qualifier not in allowed list",IF(COUNTIF($M$5:$M$304,M6)&gt;1,"Duplicate name","OK")))))))))</f>
        <v>OK</v>
      </c>
      <c r="O6" s="17" t="s">
        <v>332</v>
      </c>
      <c r="P6" s="17" t="s">
        <v>327</v>
      </c>
      <c r="Q6" s="17" t="s">
        <v>333</v>
      </c>
    </row>
    <row r="7" spans="1:17" x14ac:dyDescent="0.25">
      <c r="A7" s="17" t="s">
        <v>334</v>
      </c>
      <c r="B7" s="17" t="s">
        <v>335</v>
      </c>
      <c r="C7" s="17" t="s">
        <v>123</v>
      </c>
      <c r="D7" s="18" t="str">
        <f>IF(C7="","",IFERROR(VLOOKUP(C7,Codes!$J$8:$O$117,2,FALSE),"Unknown type"))</f>
        <v>VM instance</v>
      </c>
      <c r="E7" s="17" t="s">
        <v>336</v>
      </c>
      <c r="F7" s="17" t="s">
        <v>337</v>
      </c>
      <c r="G7" s="17" t="s">
        <v>14</v>
      </c>
      <c r="H7" s="17" t="s">
        <v>17</v>
      </c>
      <c r="I7" s="17" t="s">
        <v>21</v>
      </c>
      <c r="J7" s="17" t="s">
        <v>338</v>
      </c>
      <c r="K7" s="19" t="str">
        <f>IF(C7="","",IFERROR(VLOOKUP(C7,Codes!$J$8:$O$117,6,FALSE),""))</f>
        <v>ol, rhel, win, ubu</v>
      </c>
      <c r="L7" s="17">
        <v>1</v>
      </c>
      <c r="M7" s="20" t="str">
        <f>IF(C7="","",LOWER(Codes!$B$4&amp;"-"&amp;G7&amp;IF(H7="","","-"&amp;H7)&amp;"-"&amp;C7&amp;"-"&amp;I7&amp;IF(J7="","","-"&amp;J7)&amp;"-"&amp;IF(L7="","01",TEXT(L7,"00"))))</f>
        <v>cmr-prd-cas-vm-cbs-ol-01</v>
      </c>
      <c r="N7" s="18" t="str">
        <f>IF(C7="","",IF(ISNA(MATCH(C7,Codes!$J$8:$J$117,0)),"Unknown type code",IF(OR(G7="",I7=""),"Env and app required",IF(AND(VLOOKUP(C7,Codes!$J$8:$O$117,4,FALSE)="Global",H7&lt;&gt;""),"Global type: leave region blank",IF(AND(VLOOKUP(C7,Codes!$J$8:$O$117,4,FALSE)&lt;&gt;"Global",H7=""),"Region required",IF(AND(VLOOKUP(C7,Codes!$J$8:$O$117,5,FALSE)="Required",J7=""),"Qualifier required",IF(AND(VLOOKUP(C7,Codes!$J$8:$O$117,5,FALSE)="None",J7&lt;&gt;""),"This type takes no qualifier",IF(AND(J7&lt;&gt;"",VLOOKUP(C7,Codes!$J$8:$O$117,6,FALSE)&lt;&gt;"-",ISERROR(SEARCH(", "&amp;J7&amp;",",", "&amp;VLOOKUP(C7,Codes!$J$8:$O$117,6,FALSE)&amp;","))),"Qualifier not in allowed list",IF(COUNTIF($M$5:$M$304,M7)&gt;1,"Duplicate name","OK")))))))))</f>
        <v>OK</v>
      </c>
      <c r="O7" s="17"/>
      <c r="P7" s="17" t="s">
        <v>327</v>
      </c>
      <c r="Q7" s="17" t="s">
        <v>339</v>
      </c>
    </row>
    <row r="8" spans="1:17" x14ac:dyDescent="0.25">
      <c r="A8" s="17" t="s">
        <v>340</v>
      </c>
      <c r="B8" s="17" t="s">
        <v>335</v>
      </c>
      <c r="C8" s="17" t="s">
        <v>123</v>
      </c>
      <c r="D8" s="18" t="str">
        <f>IF(C8="","",IFERROR(VLOOKUP(C8,Codes!$J$8:$O$117,2,FALSE),"Unknown type"))</f>
        <v>VM instance</v>
      </c>
      <c r="E8" s="17" t="s">
        <v>341</v>
      </c>
      <c r="F8" s="17" t="s">
        <v>337</v>
      </c>
      <c r="G8" s="17" t="s">
        <v>14</v>
      </c>
      <c r="H8" s="17" t="s">
        <v>19</v>
      </c>
      <c r="I8" s="17" t="s">
        <v>21</v>
      </c>
      <c r="J8" s="17" t="s">
        <v>338</v>
      </c>
      <c r="K8" s="19" t="str">
        <f>IF(C8="","",IFERROR(VLOOKUP(C8,Codes!$J$8:$O$117,6,FALSE),""))</f>
        <v>ol, rhel, win, ubu</v>
      </c>
      <c r="L8" s="17">
        <v>1</v>
      </c>
      <c r="M8" s="20" t="str">
        <f>IF(C8="","",LOWER(Codes!$B$4&amp;"-"&amp;G8&amp;IF(H8="","","-"&amp;H8)&amp;"-"&amp;C8&amp;"-"&amp;I8&amp;IF(J8="","","-"&amp;J8)&amp;"-"&amp;IF(L8="","01",TEXT(L8,"00"))))</f>
        <v>cmr-prd-jnb-vm-cbs-ol-01</v>
      </c>
      <c r="N8" s="18" t="str">
        <f>IF(C8="","",IF(ISNA(MATCH(C8,Codes!$J$8:$J$117,0)),"Unknown type code",IF(OR(G8="",I8=""),"Env and app required",IF(AND(VLOOKUP(C8,Codes!$J$8:$O$117,4,FALSE)="Global",H8&lt;&gt;""),"Global type: leave region blank",IF(AND(VLOOKUP(C8,Codes!$J$8:$O$117,4,FALSE)&lt;&gt;"Global",H8=""),"Region required",IF(AND(VLOOKUP(C8,Codes!$J$8:$O$117,5,FALSE)="Required",J8=""),"Qualifier required",IF(AND(VLOOKUP(C8,Codes!$J$8:$O$117,5,FALSE)="None",J8&lt;&gt;""),"This type takes no qualifier",IF(AND(J8&lt;&gt;"",VLOOKUP(C8,Codes!$J$8:$O$117,6,FALSE)&lt;&gt;"-",ISERROR(SEARCH(", "&amp;J8&amp;",",", "&amp;VLOOKUP(C8,Codes!$J$8:$O$117,6,FALSE)&amp;","))),"Qualifier not in allowed list",IF(COUNTIF($M$5:$M$304,M8)&gt;1,"Duplicate name","OK")))))))))</f>
        <v>OK</v>
      </c>
      <c r="O8" s="17"/>
      <c r="P8" s="17" t="s">
        <v>327</v>
      </c>
      <c r="Q8" s="17" t="s">
        <v>342</v>
      </c>
    </row>
    <row r="9" spans="1:17" x14ac:dyDescent="0.25">
      <c r="A9" s="17" t="s">
        <v>343</v>
      </c>
      <c r="B9" s="17" t="s">
        <v>344</v>
      </c>
      <c r="C9" s="17" t="s">
        <v>163</v>
      </c>
      <c r="D9" s="18" t="str">
        <f>IF(C9="","",IFERROR(VLOOKUP(C9,Codes!$J$8:$O$117,2,FALSE),"Unknown type"))</f>
        <v>Autonomous Database (serverless)</v>
      </c>
      <c r="E9" s="17" t="s">
        <v>345</v>
      </c>
      <c r="F9" s="17" t="s">
        <v>346</v>
      </c>
      <c r="G9" s="17" t="s">
        <v>12</v>
      </c>
      <c r="H9" s="17" t="s">
        <v>17</v>
      </c>
      <c r="I9" s="17" t="s">
        <v>23</v>
      </c>
      <c r="J9" s="17" t="s">
        <v>347</v>
      </c>
      <c r="K9" s="19" t="str">
        <f>IF(C9="","",IFERROR(VLOOKUP(C9,Codes!$J$8:$O$117,6,FALSE),""))</f>
        <v>atp, adw, ajd, apx</v>
      </c>
      <c r="L9" s="17">
        <v>1</v>
      </c>
      <c r="M9" s="20" t="str">
        <f>IF(C9="","",LOWER(Codes!$B$4&amp;"-"&amp;G9&amp;IF(H9="","","-"&amp;H9)&amp;"-"&amp;C9&amp;"-"&amp;I9&amp;IF(J9="","","-"&amp;J9)&amp;"-"&amp;IF(L9="","01",TEXT(L9,"00"))))</f>
        <v>cmr-uat-cas-adb-pay-atp-01</v>
      </c>
      <c r="N9" s="18" t="str">
        <f>IF(C9="","",IF(ISNA(MATCH(C9,Codes!$J$8:$J$117,0)),"Unknown type code",IF(OR(G9="",I9=""),"Env and app required",IF(AND(VLOOKUP(C9,Codes!$J$8:$O$117,4,FALSE)="Global",H9&lt;&gt;""),"Global type: leave region blank",IF(AND(VLOOKUP(C9,Codes!$J$8:$O$117,4,FALSE)&lt;&gt;"Global",H9=""),"Region required",IF(AND(VLOOKUP(C9,Codes!$J$8:$O$117,5,FALSE)="Required",J9=""),"Qualifier required",IF(AND(VLOOKUP(C9,Codes!$J$8:$O$117,5,FALSE)="None",J9&lt;&gt;""),"This type takes no qualifier",IF(AND(J9&lt;&gt;"",VLOOKUP(C9,Codes!$J$8:$O$117,6,FALSE)&lt;&gt;"-",ISERROR(SEARCH(", "&amp;J9&amp;",",", "&amp;VLOOKUP(C9,Codes!$J$8:$O$117,6,FALSE)&amp;","))),"Qualifier not in allowed list",IF(COUNTIF($M$5:$M$304,M9)&gt;1,"Duplicate name","OK")))))))))</f>
        <v>OK</v>
      </c>
      <c r="O9" s="17"/>
      <c r="P9" s="17" t="s">
        <v>327</v>
      </c>
      <c r="Q9" s="17" t="s">
        <v>339</v>
      </c>
    </row>
    <row r="10" spans="1:17" x14ac:dyDescent="0.25">
      <c r="A10" s="17" t="s">
        <v>348</v>
      </c>
      <c r="B10" s="17" t="s">
        <v>349</v>
      </c>
      <c r="C10" s="17" t="s">
        <v>41</v>
      </c>
      <c r="D10" s="18" t="str">
        <f>IF(C10="","",IFERROR(VLOOKUP(C10,Codes!$J$8:$O$117,2,FALSE),"Unknown type"))</f>
        <v>IAM policy</v>
      </c>
      <c r="E10" s="17" t="s">
        <v>350</v>
      </c>
      <c r="F10" s="17" t="s">
        <v>337</v>
      </c>
      <c r="G10" s="17" t="s">
        <v>14</v>
      </c>
      <c r="H10" s="17"/>
      <c r="I10" s="17" t="s">
        <v>21</v>
      </c>
      <c r="J10" s="17" t="s">
        <v>351</v>
      </c>
      <c r="K10" s="19" t="str">
        <f>IF(C10="","",IFERROR(VLOOKUP(C10,Codes!$J$8:$O$117,6,FALSE),""))</f>
        <v>admin, oper, read, audit, deploy, brkgl</v>
      </c>
      <c r="L10" s="17">
        <v>1</v>
      </c>
      <c r="M10" s="20" t="str">
        <f>IF(C10="","",LOWER(Codes!$B$4&amp;"-"&amp;G10&amp;IF(H10="","","-"&amp;H10)&amp;"-"&amp;C10&amp;"-"&amp;I10&amp;IF(J10="","","-"&amp;J10)&amp;"-"&amp;IF(L10="","01",TEXT(L10,"00"))))</f>
        <v>cmr-prd-pol-cbs-oper-01</v>
      </c>
      <c r="N10" s="18" t="str">
        <f>IF(C10="","",IF(ISNA(MATCH(C10,Codes!$J$8:$J$117,0)),"Unknown type code",IF(OR(G10="",I10=""),"Env and app required",IF(AND(VLOOKUP(C10,Codes!$J$8:$O$117,4,FALSE)="Global",H10&lt;&gt;""),"Global type: leave region blank",IF(AND(VLOOKUP(C10,Codes!$J$8:$O$117,4,FALSE)&lt;&gt;"Global",H10=""),"Region required",IF(AND(VLOOKUP(C10,Codes!$J$8:$O$117,5,FALSE)="Required",J10=""),"Qualifier required",IF(AND(VLOOKUP(C10,Codes!$J$8:$O$117,5,FALSE)="None",J10&lt;&gt;""),"This type takes no qualifier",IF(AND(J10&lt;&gt;"",VLOOKUP(C10,Codes!$J$8:$O$117,6,FALSE)&lt;&gt;"-",ISERROR(SEARCH(", "&amp;J10&amp;",",", "&amp;VLOOKUP(C10,Codes!$J$8:$O$117,6,FALSE)&amp;","))),"Qualifier not in allowed list",IF(COUNTIF($M$5:$M$304,M10)&gt;1,"Duplicate name","OK")))))))))</f>
        <v>OK</v>
      </c>
      <c r="O10" s="17"/>
      <c r="P10" s="17" t="s">
        <v>327</v>
      </c>
      <c r="Q10" s="17" t="s">
        <v>352</v>
      </c>
    </row>
    <row r="11" spans="1:17" x14ac:dyDescent="0.25">
      <c r="A11" s="10"/>
      <c r="B11" s="10"/>
      <c r="C11" s="10"/>
      <c r="D11" s="15" t="str">
        <f>IF(C11="","",IFERROR(VLOOKUP(C11,Codes!$J$8:$O$117,2,FALSE),"Unknown type"))</f>
        <v/>
      </c>
      <c r="E11" s="10"/>
      <c r="F11" s="10"/>
      <c r="G11" s="10"/>
      <c r="H11" s="10"/>
      <c r="I11" s="10"/>
      <c r="J11" s="10"/>
      <c r="K11" s="16" t="str">
        <f>IF(C11="","",IFERROR(VLOOKUP(C11,Codes!$J$8:$O$117,6,FALSE),""))</f>
        <v/>
      </c>
      <c r="L11" s="10"/>
      <c r="M11" s="14" t="str">
        <f>IF(C11="","",LOWER(Codes!$B$4&amp;"-"&amp;G11&amp;IF(H11="","","-"&amp;H11)&amp;"-"&amp;C11&amp;"-"&amp;I11&amp;IF(J11="","","-"&amp;J11)&amp;"-"&amp;IF(L11="","01",TEXT(L11,"00"))))</f>
        <v/>
      </c>
      <c r="N11" s="15" t="str">
        <f>IF(C11="","",IF(ISNA(MATCH(C11,Codes!$J$8:$J$117,0)),"Unknown type code",IF(OR(G11="",I11=""),"Env and app required",IF(AND(VLOOKUP(C11,Codes!$J$8:$O$117,4,FALSE)="Global",H11&lt;&gt;""),"Global type: leave region blank",IF(AND(VLOOKUP(C11,Codes!$J$8:$O$117,4,FALSE)&lt;&gt;"Global",H11=""),"Region required",IF(AND(VLOOKUP(C11,Codes!$J$8:$O$117,5,FALSE)="Required",J11=""),"Qualifier required",IF(AND(VLOOKUP(C11,Codes!$J$8:$O$117,5,FALSE)="None",J11&lt;&gt;""),"This type takes no qualifier",IF(AND(J11&lt;&gt;"",VLOOKUP(C11,Codes!$J$8:$O$117,6,FALSE)&lt;&gt;"-",ISERROR(SEARCH(", "&amp;J11&amp;",",", "&amp;VLOOKUP(C11,Codes!$J$8:$O$117,6,FALSE)&amp;","))),"Qualifier not in allowed list",IF(COUNTIF($M$5:$M$304,M11)&gt;1,"Duplicate name","OK")))))))))</f>
        <v/>
      </c>
      <c r="O11" s="10"/>
      <c r="P11" s="10"/>
      <c r="Q11" s="10"/>
    </row>
    <row r="12" spans="1:17" x14ac:dyDescent="0.25">
      <c r="A12" s="10"/>
      <c r="B12" s="10"/>
      <c r="C12" s="10"/>
      <c r="D12" s="15" t="str">
        <f>IF(C12="","",IFERROR(VLOOKUP(C12,Codes!$J$8:$O$117,2,FALSE),"Unknown type"))</f>
        <v/>
      </c>
      <c r="E12" s="10"/>
      <c r="F12" s="10"/>
      <c r="G12" s="10"/>
      <c r="H12" s="10"/>
      <c r="I12" s="10"/>
      <c r="J12" s="10"/>
      <c r="K12" s="16" t="str">
        <f>IF(C12="","",IFERROR(VLOOKUP(C12,Codes!$J$8:$O$117,6,FALSE),""))</f>
        <v/>
      </c>
      <c r="L12" s="10"/>
      <c r="M12" s="14" t="str">
        <f>IF(C12="","",LOWER(Codes!$B$4&amp;"-"&amp;G12&amp;IF(H12="","","-"&amp;H12)&amp;"-"&amp;C12&amp;"-"&amp;I12&amp;IF(J12="","","-"&amp;J12)&amp;"-"&amp;IF(L12="","01",TEXT(L12,"00"))))</f>
        <v/>
      </c>
      <c r="N12" s="15" t="str">
        <f>IF(C12="","",IF(ISNA(MATCH(C12,Codes!$J$8:$J$117,0)),"Unknown type code",IF(OR(G12="",I12=""),"Env and app required",IF(AND(VLOOKUP(C12,Codes!$J$8:$O$117,4,FALSE)="Global",H12&lt;&gt;""),"Global type: leave region blank",IF(AND(VLOOKUP(C12,Codes!$J$8:$O$117,4,FALSE)&lt;&gt;"Global",H12=""),"Region required",IF(AND(VLOOKUP(C12,Codes!$J$8:$O$117,5,FALSE)="Required",J12=""),"Qualifier required",IF(AND(VLOOKUP(C12,Codes!$J$8:$O$117,5,FALSE)="None",J12&lt;&gt;""),"This type takes no qualifier",IF(AND(J12&lt;&gt;"",VLOOKUP(C12,Codes!$J$8:$O$117,6,FALSE)&lt;&gt;"-",ISERROR(SEARCH(", "&amp;J12&amp;",",", "&amp;VLOOKUP(C12,Codes!$J$8:$O$117,6,FALSE)&amp;","))),"Qualifier not in allowed list",IF(COUNTIF($M$5:$M$304,M12)&gt;1,"Duplicate name","OK")))))))))</f>
        <v/>
      </c>
      <c r="O12" s="10"/>
      <c r="P12" s="10"/>
      <c r="Q12" s="10"/>
    </row>
    <row r="13" spans="1:17" x14ac:dyDescent="0.25">
      <c r="A13" s="10"/>
      <c r="B13" s="10"/>
      <c r="C13" s="10"/>
      <c r="D13" s="15" t="str">
        <f>IF(C13="","",IFERROR(VLOOKUP(C13,Codes!$J$8:$O$117,2,FALSE),"Unknown type"))</f>
        <v/>
      </c>
      <c r="E13" s="10"/>
      <c r="F13" s="10"/>
      <c r="G13" s="10"/>
      <c r="H13" s="10"/>
      <c r="I13" s="10"/>
      <c r="J13" s="10"/>
      <c r="K13" s="16" t="str">
        <f>IF(C13="","",IFERROR(VLOOKUP(C13,Codes!$J$8:$O$117,6,FALSE),""))</f>
        <v/>
      </c>
      <c r="L13" s="10"/>
      <c r="M13" s="14" t="str">
        <f>IF(C13="","",LOWER(Codes!$B$4&amp;"-"&amp;G13&amp;IF(H13="","","-"&amp;H13)&amp;"-"&amp;C13&amp;"-"&amp;I13&amp;IF(J13="","","-"&amp;J13)&amp;"-"&amp;IF(L13="","01",TEXT(L13,"00"))))</f>
        <v/>
      </c>
      <c r="N13" s="15" t="str">
        <f>IF(C13="","",IF(ISNA(MATCH(C13,Codes!$J$8:$J$117,0)),"Unknown type code",IF(OR(G13="",I13=""),"Env and app required",IF(AND(VLOOKUP(C13,Codes!$J$8:$O$117,4,FALSE)="Global",H13&lt;&gt;""),"Global type: leave region blank",IF(AND(VLOOKUP(C13,Codes!$J$8:$O$117,4,FALSE)&lt;&gt;"Global",H13=""),"Region required",IF(AND(VLOOKUP(C13,Codes!$J$8:$O$117,5,FALSE)="Required",J13=""),"Qualifier required",IF(AND(VLOOKUP(C13,Codes!$J$8:$O$117,5,FALSE)="None",J13&lt;&gt;""),"This type takes no qualifier",IF(AND(J13&lt;&gt;"",VLOOKUP(C13,Codes!$J$8:$O$117,6,FALSE)&lt;&gt;"-",ISERROR(SEARCH(", "&amp;J13&amp;",",", "&amp;VLOOKUP(C13,Codes!$J$8:$O$117,6,FALSE)&amp;","))),"Qualifier not in allowed list",IF(COUNTIF($M$5:$M$304,M13)&gt;1,"Duplicate name","OK")))))))))</f>
        <v/>
      </c>
      <c r="O13" s="10"/>
      <c r="P13" s="10"/>
      <c r="Q13" s="10"/>
    </row>
    <row r="14" spans="1:17" x14ac:dyDescent="0.25">
      <c r="A14" s="10"/>
      <c r="B14" s="10"/>
      <c r="C14" s="10"/>
      <c r="D14" s="15" t="str">
        <f>IF(C14="","",IFERROR(VLOOKUP(C14,Codes!$J$8:$O$117,2,FALSE),"Unknown type"))</f>
        <v/>
      </c>
      <c r="E14" s="10"/>
      <c r="F14" s="10"/>
      <c r="G14" s="10"/>
      <c r="H14" s="10"/>
      <c r="I14" s="10"/>
      <c r="J14" s="10"/>
      <c r="K14" s="16" t="str">
        <f>IF(C14="","",IFERROR(VLOOKUP(C14,Codes!$J$8:$O$117,6,FALSE),""))</f>
        <v/>
      </c>
      <c r="L14" s="10"/>
      <c r="M14" s="14" t="str">
        <f>IF(C14="","",LOWER(Codes!$B$4&amp;"-"&amp;G14&amp;IF(H14="","","-"&amp;H14)&amp;"-"&amp;C14&amp;"-"&amp;I14&amp;IF(J14="","","-"&amp;J14)&amp;"-"&amp;IF(L14="","01",TEXT(L14,"00"))))</f>
        <v/>
      </c>
      <c r="N14" s="15" t="str">
        <f>IF(C14="","",IF(ISNA(MATCH(C14,Codes!$J$8:$J$117,0)),"Unknown type code",IF(OR(G14="",I14=""),"Env and app required",IF(AND(VLOOKUP(C14,Codes!$J$8:$O$117,4,FALSE)="Global",H14&lt;&gt;""),"Global type: leave region blank",IF(AND(VLOOKUP(C14,Codes!$J$8:$O$117,4,FALSE)&lt;&gt;"Global",H14=""),"Region required",IF(AND(VLOOKUP(C14,Codes!$J$8:$O$117,5,FALSE)="Required",J14=""),"Qualifier required",IF(AND(VLOOKUP(C14,Codes!$J$8:$O$117,5,FALSE)="None",J14&lt;&gt;""),"This type takes no qualifier",IF(AND(J14&lt;&gt;"",VLOOKUP(C14,Codes!$J$8:$O$117,6,FALSE)&lt;&gt;"-",ISERROR(SEARCH(", "&amp;J14&amp;",",", "&amp;VLOOKUP(C14,Codes!$J$8:$O$117,6,FALSE)&amp;","))),"Qualifier not in allowed list",IF(COUNTIF($M$5:$M$304,M14)&gt;1,"Duplicate name","OK")))))))))</f>
        <v/>
      </c>
      <c r="O14" s="10"/>
      <c r="P14" s="10"/>
      <c r="Q14" s="10"/>
    </row>
    <row r="15" spans="1:17" x14ac:dyDescent="0.25">
      <c r="A15" s="10"/>
      <c r="B15" s="10"/>
      <c r="C15" s="10"/>
      <c r="D15" s="15" t="str">
        <f>IF(C15="","",IFERROR(VLOOKUP(C15,Codes!$J$8:$O$117,2,FALSE),"Unknown type"))</f>
        <v/>
      </c>
      <c r="E15" s="10"/>
      <c r="F15" s="10"/>
      <c r="G15" s="10"/>
      <c r="H15" s="10"/>
      <c r="I15" s="10"/>
      <c r="J15" s="10"/>
      <c r="K15" s="16" t="str">
        <f>IF(C15="","",IFERROR(VLOOKUP(C15,Codes!$J$8:$O$117,6,FALSE),""))</f>
        <v/>
      </c>
      <c r="L15" s="10"/>
      <c r="M15" s="14" t="str">
        <f>IF(C15="","",LOWER(Codes!$B$4&amp;"-"&amp;G15&amp;IF(H15="","","-"&amp;H15)&amp;"-"&amp;C15&amp;"-"&amp;I15&amp;IF(J15="","","-"&amp;J15)&amp;"-"&amp;IF(L15="","01",TEXT(L15,"00"))))</f>
        <v/>
      </c>
      <c r="N15" s="15" t="str">
        <f>IF(C15="","",IF(ISNA(MATCH(C15,Codes!$J$8:$J$117,0)),"Unknown type code",IF(OR(G15="",I15=""),"Env and app required",IF(AND(VLOOKUP(C15,Codes!$J$8:$O$117,4,FALSE)="Global",H15&lt;&gt;""),"Global type: leave region blank",IF(AND(VLOOKUP(C15,Codes!$J$8:$O$117,4,FALSE)&lt;&gt;"Global",H15=""),"Region required",IF(AND(VLOOKUP(C15,Codes!$J$8:$O$117,5,FALSE)="Required",J15=""),"Qualifier required",IF(AND(VLOOKUP(C15,Codes!$J$8:$O$117,5,FALSE)="None",J15&lt;&gt;""),"This type takes no qualifier",IF(AND(J15&lt;&gt;"",VLOOKUP(C15,Codes!$J$8:$O$117,6,FALSE)&lt;&gt;"-",ISERROR(SEARCH(", "&amp;J15&amp;",",", "&amp;VLOOKUP(C15,Codes!$J$8:$O$117,6,FALSE)&amp;","))),"Qualifier not in allowed list",IF(COUNTIF($M$5:$M$304,M15)&gt;1,"Duplicate name","OK")))))))))</f>
        <v/>
      </c>
      <c r="O15" s="10"/>
      <c r="P15" s="10"/>
      <c r="Q15" s="10"/>
    </row>
    <row r="16" spans="1:17" x14ac:dyDescent="0.25">
      <c r="A16" s="10"/>
      <c r="B16" s="10"/>
      <c r="C16" s="10"/>
      <c r="D16" s="15" t="str">
        <f>IF(C16="","",IFERROR(VLOOKUP(C16,Codes!$J$8:$O$117,2,FALSE),"Unknown type"))</f>
        <v/>
      </c>
      <c r="E16" s="10"/>
      <c r="F16" s="10"/>
      <c r="G16" s="10"/>
      <c r="H16" s="10"/>
      <c r="I16" s="10"/>
      <c r="J16" s="10"/>
      <c r="K16" s="16" t="str">
        <f>IF(C16="","",IFERROR(VLOOKUP(C16,Codes!$J$8:$O$117,6,FALSE),""))</f>
        <v/>
      </c>
      <c r="L16" s="10"/>
      <c r="M16" s="14" t="str">
        <f>IF(C16="","",LOWER(Codes!$B$4&amp;"-"&amp;G16&amp;IF(H16="","","-"&amp;H16)&amp;"-"&amp;C16&amp;"-"&amp;I16&amp;IF(J16="","","-"&amp;J16)&amp;"-"&amp;IF(L16="","01",TEXT(L16,"00"))))</f>
        <v/>
      </c>
      <c r="N16" s="15" t="str">
        <f>IF(C16="","",IF(ISNA(MATCH(C16,Codes!$J$8:$J$117,0)),"Unknown type code",IF(OR(G16="",I16=""),"Env and app required",IF(AND(VLOOKUP(C16,Codes!$J$8:$O$117,4,FALSE)="Global",H16&lt;&gt;""),"Global type: leave region blank",IF(AND(VLOOKUP(C16,Codes!$J$8:$O$117,4,FALSE)&lt;&gt;"Global",H16=""),"Region required",IF(AND(VLOOKUP(C16,Codes!$J$8:$O$117,5,FALSE)="Required",J16=""),"Qualifier required",IF(AND(VLOOKUP(C16,Codes!$J$8:$O$117,5,FALSE)="None",J16&lt;&gt;""),"This type takes no qualifier",IF(AND(J16&lt;&gt;"",VLOOKUP(C16,Codes!$J$8:$O$117,6,FALSE)&lt;&gt;"-",ISERROR(SEARCH(", "&amp;J16&amp;",",", "&amp;VLOOKUP(C16,Codes!$J$8:$O$117,6,FALSE)&amp;","))),"Qualifier not in allowed list",IF(COUNTIF($M$5:$M$304,M16)&gt;1,"Duplicate name","OK")))))))))</f>
        <v/>
      </c>
      <c r="O16" s="10"/>
      <c r="P16" s="10"/>
      <c r="Q16" s="10"/>
    </row>
    <row r="17" spans="1:17" x14ac:dyDescent="0.25">
      <c r="A17" s="10"/>
      <c r="B17" s="10"/>
      <c r="C17" s="10"/>
      <c r="D17" s="15" t="str">
        <f>IF(C17="","",IFERROR(VLOOKUP(C17,Codes!$J$8:$O$117,2,FALSE),"Unknown type"))</f>
        <v/>
      </c>
      <c r="E17" s="10"/>
      <c r="F17" s="10"/>
      <c r="G17" s="10"/>
      <c r="H17" s="10"/>
      <c r="I17" s="10"/>
      <c r="J17" s="10"/>
      <c r="K17" s="16" t="str">
        <f>IF(C17="","",IFERROR(VLOOKUP(C17,Codes!$J$8:$O$117,6,FALSE),""))</f>
        <v/>
      </c>
      <c r="L17" s="10"/>
      <c r="M17" s="14" t="str">
        <f>IF(C17="","",LOWER(Codes!$B$4&amp;"-"&amp;G17&amp;IF(H17="","","-"&amp;H17)&amp;"-"&amp;C17&amp;"-"&amp;I17&amp;IF(J17="","","-"&amp;J17)&amp;"-"&amp;IF(L17="","01",TEXT(L17,"00"))))</f>
        <v/>
      </c>
      <c r="N17" s="15" t="str">
        <f>IF(C17="","",IF(ISNA(MATCH(C17,Codes!$J$8:$J$117,0)),"Unknown type code",IF(OR(G17="",I17=""),"Env and app required",IF(AND(VLOOKUP(C17,Codes!$J$8:$O$117,4,FALSE)="Global",H17&lt;&gt;""),"Global type: leave region blank",IF(AND(VLOOKUP(C17,Codes!$J$8:$O$117,4,FALSE)&lt;&gt;"Global",H17=""),"Region required",IF(AND(VLOOKUP(C17,Codes!$J$8:$O$117,5,FALSE)="Required",J17=""),"Qualifier required",IF(AND(VLOOKUP(C17,Codes!$J$8:$O$117,5,FALSE)="None",J17&lt;&gt;""),"This type takes no qualifier",IF(AND(J17&lt;&gt;"",VLOOKUP(C17,Codes!$J$8:$O$117,6,FALSE)&lt;&gt;"-",ISERROR(SEARCH(", "&amp;J17&amp;",",", "&amp;VLOOKUP(C17,Codes!$J$8:$O$117,6,FALSE)&amp;","))),"Qualifier not in allowed list",IF(COUNTIF($M$5:$M$304,M17)&gt;1,"Duplicate name","OK")))))))))</f>
        <v/>
      </c>
      <c r="O17" s="10"/>
      <c r="P17" s="10"/>
      <c r="Q17" s="10"/>
    </row>
    <row r="18" spans="1:17" x14ac:dyDescent="0.25">
      <c r="A18" s="10"/>
      <c r="B18" s="10"/>
      <c r="C18" s="10"/>
      <c r="D18" s="15" t="str">
        <f>IF(C18="","",IFERROR(VLOOKUP(C18,Codes!$J$8:$O$117,2,FALSE),"Unknown type"))</f>
        <v/>
      </c>
      <c r="E18" s="10"/>
      <c r="F18" s="10"/>
      <c r="G18" s="10"/>
      <c r="H18" s="10"/>
      <c r="I18" s="10"/>
      <c r="J18" s="10"/>
      <c r="K18" s="16" t="str">
        <f>IF(C18="","",IFERROR(VLOOKUP(C18,Codes!$J$8:$O$117,6,FALSE),""))</f>
        <v/>
      </c>
      <c r="L18" s="10"/>
      <c r="M18" s="14" t="str">
        <f>IF(C18="","",LOWER(Codes!$B$4&amp;"-"&amp;G18&amp;IF(H18="","","-"&amp;H18)&amp;"-"&amp;C18&amp;"-"&amp;I18&amp;IF(J18="","","-"&amp;J18)&amp;"-"&amp;IF(L18="","01",TEXT(L18,"00"))))</f>
        <v/>
      </c>
      <c r="N18" s="15" t="str">
        <f>IF(C18="","",IF(ISNA(MATCH(C18,Codes!$J$8:$J$117,0)),"Unknown type code",IF(OR(G18="",I18=""),"Env and app required",IF(AND(VLOOKUP(C18,Codes!$J$8:$O$117,4,FALSE)="Global",H18&lt;&gt;""),"Global type: leave region blank",IF(AND(VLOOKUP(C18,Codes!$J$8:$O$117,4,FALSE)&lt;&gt;"Global",H18=""),"Region required",IF(AND(VLOOKUP(C18,Codes!$J$8:$O$117,5,FALSE)="Required",J18=""),"Qualifier required",IF(AND(VLOOKUP(C18,Codes!$J$8:$O$117,5,FALSE)="None",J18&lt;&gt;""),"This type takes no qualifier",IF(AND(J18&lt;&gt;"",VLOOKUP(C18,Codes!$J$8:$O$117,6,FALSE)&lt;&gt;"-",ISERROR(SEARCH(", "&amp;J18&amp;",",", "&amp;VLOOKUP(C18,Codes!$J$8:$O$117,6,FALSE)&amp;","))),"Qualifier not in allowed list",IF(COUNTIF($M$5:$M$304,M18)&gt;1,"Duplicate name","OK")))))))))</f>
        <v/>
      </c>
      <c r="O18" s="10"/>
      <c r="P18" s="10"/>
      <c r="Q18" s="10"/>
    </row>
    <row r="19" spans="1:17" x14ac:dyDescent="0.25">
      <c r="A19" s="10"/>
      <c r="B19" s="10"/>
      <c r="C19" s="10"/>
      <c r="D19" s="15" t="str">
        <f>IF(C19="","",IFERROR(VLOOKUP(C19,Codes!$J$8:$O$117,2,FALSE),"Unknown type"))</f>
        <v/>
      </c>
      <c r="E19" s="10"/>
      <c r="F19" s="10"/>
      <c r="G19" s="10"/>
      <c r="H19" s="10"/>
      <c r="I19" s="10"/>
      <c r="J19" s="10"/>
      <c r="K19" s="16" t="str">
        <f>IF(C19="","",IFERROR(VLOOKUP(C19,Codes!$J$8:$O$117,6,FALSE),""))</f>
        <v/>
      </c>
      <c r="L19" s="10"/>
      <c r="M19" s="14" t="str">
        <f>IF(C19="","",LOWER(Codes!$B$4&amp;"-"&amp;G19&amp;IF(H19="","","-"&amp;H19)&amp;"-"&amp;C19&amp;"-"&amp;I19&amp;IF(J19="","","-"&amp;J19)&amp;"-"&amp;IF(L19="","01",TEXT(L19,"00"))))</f>
        <v/>
      </c>
      <c r="N19" s="15" t="str">
        <f>IF(C19="","",IF(ISNA(MATCH(C19,Codes!$J$8:$J$117,0)),"Unknown type code",IF(OR(G19="",I19=""),"Env and app required",IF(AND(VLOOKUP(C19,Codes!$J$8:$O$117,4,FALSE)="Global",H19&lt;&gt;""),"Global type: leave region blank",IF(AND(VLOOKUP(C19,Codes!$J$8:$O$117,4,FALSE)&lt;&gt;"Global",H19=""),"Region required",IF(AND(VLOOKUP(C19,Codes!$J$8:$O$117,5,FALSE)="Required",J19=""),"Qualifier required",IF(AND(VLOOKUP(C19,Codes!$J$8:$O$117,5,FALSE)="None",J19&lt;&gt;""),"This type takes no qualifier",IF(AND(J19&lt;&gt;"",VLOOKUP(C19,Codes!$J$8:$O$117,6,FALSE)&lt;&gt;"-",ISERROR(SEARCH(", "&amp;J19&amp;",",", "&amp;VLOOKUP(C19,Codes!$J$8:$O$117,6,FALSE)&amp;","))),"Qualifier not in allowed list",IF(COUNTIF($M$5:$M$304,M19)&gt;1,"Duplicate name","OK")))))))))</f>
        <v/>
      </c>
      <c r="O19" s="10"/>
      <c r="P19" s="10"/>
      <c r="Q19" s="10"/>
    </row>
    <row r="20" spans="1:17" x14ac:dyDescent="0.25">
      <c r="A20" s="10"/>
      <c r="B20" s="10"/>
      <c r="C20" s="10"/>
      <c r="D20" s="15" t="str">
        <f>IF(C20="","",IFERROR(VLOOKUP(C20,Codes!$J$8:$O$117,2,FALSE),"Unknown type"))</f>
        <v/>
      </c>
      <c r="E20" s="10"/>
      <c r="F20" s="10"/>
      <c r="G20" s="10"/>
      <c r="H20" s="10"/>
      <c r="I20" s="10"/>
      <c r="J20" s="10"/>
      <c r="K20" s="16" t="str">
        <f>IF(C20="","",IFERROR(VLOOKUP(C20,Codes!$J$8:$O$117,6,FALSE),""))</f>
        <v/>
      </c>
      <c r="L20" s="10"/>
      <c r="M20" s="14" t="str">
        <f>IF(C20="","",LOWER(Codes!$B$4&amp;"-"&amp;G20&amp;IF(H20="","","-"&amp;H20)&amp;"-"&amp;C20&amp;"-"&amp;I20&amp;IF(J20="","","-"&amp;J20)&amp;"-"&amp;IF(L20="","01",TEXT(L20,"00"))))</f>
        <v/>
      </c>
      <c r="N20" s="15" t="str">
        <f>IF(C20="","",IF(ISNA(MATCH(C20,Codes!$J$8:$J$117,0)),"Unknown type code",IF(OR(G20="",I20=""),"Env and app required",IF(AND(VLOOKUP(C20,Codes!$J$8:$O$117,4,FALSE)="Global",H20&lt;&gt;""),"Global type: leave region blank",IF(AND(VLOOKUP(C20,Codes!$J$8:$O$117,4,FALSE)&lt;&gt;"Global",H20=""),"Region required",IF(AND(VLOOKUP(C20,Codes!$J$8:$O$117,5,FALSE)="Required",J20=""),"Qualifier required",IF(AND(VLOOKUP(C20,Codes!$J$8:$O$117,5,FALSE)="None",J20&lt;&gt;""),"This type takes no qualifier",IF(AND(J20&lt;&gt;"",VLOOKUP(C20,Codes!$J$8:$O$117,6,FALSE)&lt;&gt;"-",ISERROR(SEARCH(", "&amp;J20&amp;",",", "&amp;VLOOKUP(C20,Codes!$J$8:$O$117,6,FALSE)&amp;","))),"Qualifier not in allowed list",IF(COUNTIF($M$5:$M$304,M20)&gt;1,"Duplicate name","OK")))))))))</f>
        <v/>
      </c>
      <c r="O20" s="10"/>
      <c r="P20" s="10"/>
      <c r="Q20" s="10"/>
    </row>
    <row r="21" spans="1:17" x14ac:dyDescent="0.25">
      <c r="A21" s="10"/>
      <c r="B21" s="10"/>
      <c r="C21" s="10"/>
      <c r="D21" s="15" t="str">
        <f>IF(C21="","",IFERROR(VLOOKUP(C21,Codes!$J$8:$O$117,2,FALSE),"Unknown type"))</f>
        <v/>
      </c>
      <c r="E21" s="10"/>
      <c r="F21" s="10"/>
      <c r="G21" s="10"/>
      <c r="H21" s="10"/>
      <c r="I21" s="10"/>
      <c r="J21" s="10"/>
      <c r="K21" s="16" t="str">
        <f>IF(C21="","",IFERROR(VLOOKUP(C21,Codes!$J$8:$O$117,6,FALSE),""))</f>
        <v/>
      </c>
      <c r="L21" s="10"/>
      <c r="M21" s="14" t="str">
        <f>IF(C21="","",LOWER(Codes!$B$4&amp;"-"&amp;G21&amp;IF(H21="","","-"&amp;H21)&amp;"-"&amp;C21&amp;"-"&amp;I21&amp;IF(J21="","","-"&amp;J21)&amp;"-"&amp;IF(L21="","01",TEXT(L21,"00"))))</f>
        <v/>
      </c>
      <c r="N21" s="15" t="str">
        <f>IF(C21="","",IF(ISNA(MATCH(C21,Codes!$J$8:$J$117,0)),"Unknown type code",IF(OR(G21="",I21=""),"Env and app required",IF(AND(VLOOKUP(C21,Codes!$J$8:$O$117,4,FALSE)="Global",H21&lt;&gt;""),"Global type: leave region blank",IF(AND(VLOOKUP(C21,Codes!$J$8:$O$117,4,FALSE)&lt;&gt;"Global",H21=""),"Region required",IF(AND(VLOOKUP(C21,Codes!$J$8:$O$117,5,FALSE)="Required",J21=""),"Qualifier required",IF(AND(VLOOKUP(C21,Codes!$J$8:$O$117,5,FALSE)="None",J21&lt;&gt;""),"This type takes no qualifier",IF(AND(J21&lt;&gt;"",VLOOKUP(C21,Codes!$J$8:$O$117,6,FALSE)&lt;&gt;"-",ISERROR(SEARCH(", "&amp;J21&amp;",",", "&amp;VLOOKUP(C21,Codes!$J$8:$O$117,6,FALSE)&amp;","))),"Qualifier not in allowed list",IF(COUNTIF($M$5:$M$304,M21)&gt;1,"Duplicate name","OK")))))))))</f>
        <v/>
      </c>
      <c r="O21" s="10"/>
      <c r="P21" s="10"/>
      <c r="Q21" s="10"/>
    </row>
    <row r="22" spans="1:17" x14ac:dyDescent="0.25">
      <c r="A22" s="10"/>
      <c r="B22" s="10"/>
      <c r="C22" s="10"/>
      <c r="D22" s="15" t="str">
        <f>IF(C22="","",IFERROR(VLOOKUP(C22,Codes!$J$8:$O$117,2,FALSE),"Unknown type"))</f>
        <v/>
      </c>
      <c r="E22" s="10"/>
      <c r="F22" s="10"/>
      <c r="G22" s="10"/>
      <c r="H22" s="10"/>
      <c r="I22" s="10"/>
      <c r="J22" s="10"/>
      <c r="K22" s="16" t="str">
        <f>IF(C22="","",IFERROR(VLOOKUP(C22,Codes!$J$8:$O$117,6,FALSE),""))</f>
        <v/>
      </c>
      <c r="L22" s="10"/>
      <c r="M22" s="14" t="str">
        <f>IF(C22="","",LOWER(Codes!$B$4&amp;"-"&amp;G22&amp;IF(H22="","","-"&amp;H22)&amp;"-"&amp;C22&amp;"-"&amp;I22&amp;IF(J22="","","-"&amp;J22)&amp;"-"&amp;IF(L22="","01",TEXT(L22,"00"))))</f>
        <v/>
      </c>
      <c r="N22" s="15" t="str">
        <f>IF(C22="","",IF(ISNA(MATCH(C22,Codes!$J$8:$J$117,0)),"Unknown type code",IF(OR(G22="",I22=""),"Env and app required",IF(AND(VLOOKUP(C22,Codes!$J$8:$O$117,4,FALSE)="Global",H22&lt;&gt;""),"Global type: leave region blank",IF(AND(VLOOKUP(C22,Codes!$J$8:$O$117,4,FALSE)&lt;&gt;"Global",H22=""),"Region required",IF(AND(VLOOKUP(C22,Codes!$J$8:$O$117,5,FALSE)="Required",J22=""),"Qualifier required",IF(AND(VLOOKUP(C22,Codes!$J$8:$O$117,5,FALSE)="None",J22&lt;&gt;""),"This type takes no qualifier",IF(AND(J22&lt;&gt;"",VLOOKUP(C22,Codes!$J$8:$O$117,6,FALSE)&lt;&gt;"-",ISERROR(SEARCH(", "&amp;J22&amp;",",", "&amp;VLOOKUP(C22,Codes!$J$8:$O$117,6,FALSE)&amp;","))),"Qualifier not in allowed list",IF(COUNTIF($M$5:$M$304,M22)&gt;1,"Duplicate name","OK")))))))))</f>
        <v/>
      </c>
      <c r="O22" s="10"/>
      <c r="P22" s="10"/>
      <c r="Q22" s="10"/>
    </row>
    <row r="23" spans="1:17" x14ac:dyDescent="0.25">
      <c r="A23" s="10"/>
      <c r="B23" s="10"/>
      <c r="C23" s="10"/>
      <c r="D23" s="15" t="str">
        <f>IF(C23="","",IFERROR(VLOOKUP(C23,Codes!$J$8:$O$117,2,FALSE),"Unknown type"))</f>
        <v/>
      </c>
      <c r="E23" s="10"/>
      <c r="F23" s="10"/>
      <c r="G23" s="10"/>
      <c r="H23" s="10"/>
      <c r="I23" s="10"/>
      <c r="J23" s="10"/>
      <c r="K23" s="16" t="str">
        <f>IF(C23="","",IFERROR(VLOOKUP(C23,Codes!$J$8:$O$117,6,FALSE),""))</f>
        <v/>
      </c>
      <c r="L23" s="10"/>
      <c r="M23" s="14" t="str">
        <f>IF(C23="","",LOWER(Codes!$B$4&amp;"-"&amp;G23&amp;IF(H23="","","-"&amp;H23)&amp;"-"&amp;C23&amp;"-"&amp;I23&amp;IF(J23="","","-"&amp;J23)&amp;"-"&amp;IF(L23="","01",TEXT(L23,"00"))))</f>
        <v/>
      </c>
      <c r="N23" s="15" t="str">
        <f>IF(C23="","",IF(ISNA(MATCH(C23,Codes!$J$8:$J$117,0)),"Unknown type code",IF(OR(G23="",I23=""),"Env and app required",IF(AND(VLOOKUP(C23,Codes!$J$8:$O$117,4,FALSE)="Global",H23&lt;&gt;""),"Global type: leave region blank",IF(AND(VLOOKUP(C23,Codes!$J$8:$O$117,4,FALSE)&lt;&gt;"Global",H23=""),"Region required",IF(AND(VLOOKUP(C23,Codes!$J$8:$O$117,5,FALSE)="Required",J23=""),"Qualifier required",IF(AND(VLOOKUP(C23,Codes!$J$8:$O$117,5,FALSE)="None",J23&lt;&gt;""),"This type takes no qualifier",IF(AND(J23&lt;&gt;"",VLOOKUP(C23,Codes!$J$8:$O$117,6,FALSE)&lt;&gt;"-",ISERROR(SEARCH(", "&amp;J23&amp;",",", "&amp;VLOOKUP(C23,Codes!$J$8:$O$117,6,FALSE)&amp;","))),"Qualifier not in allowed list",IF(COUNTIF($M$5:$M$304,M23)&gt;1,"Duplicate name","OK")))))))))</f>
        <v/>
      </c>
      <c r="O23" s="10"/>
      <c r="P23" s="10"/>
      <c r="Q23" s="10"/>
    </row>
    <row r="24" spans="1:17" x14ac:dyDescent="0.25">
      <c r="A24" s="10"/>
      <c r="B24" s="10"/>
      <c r="C24" s="10"/>
      <c r="D24" s="15" t="str">
        <f>IF(C24="","",IFERROR(VLOOKUP(C24,Codes!$J$8:$O$117,2,FALSE),"Unknown type"))</f>
        <v/>
      </c>
      <c r="E24" s="10"/>
      <c r="F24" s="10"/>
      <c r="G24" s="10"/>
      <c r="H24" s="10"/>
      <c r="I24" s="10"/>
      <c r="J24" s="10"/>
      <c r="K24" s="16" t="str">
        <f>IF(C24="","",IFERROR(VLOOKUP(C24,Codes!$J$8:$O$117,6,FALSE),""))</f>
        <v/>
      </c>
      <c r="L24" s="10"/>
      <c r="M24" s="14" t="str">
        <f>IF(C24="","",LOWER(Codes!$B$4&amp;"-"&amp;G24&amp;IF(H24="","","-"&amp;H24)&amp;"-"&amp;C24&amp;"-"&amp;I24&amp;IF(J24="","","-"&amp;J24)&amp;"-"&amp;IF(L24="","01",TEXT(L24,"00"))))</f>
        <v/>
      </c>
      <c r="N24" s="15" t="str">
        <f>IF(C24="","",IF(ISNA(MATCH(C24,Codes!$J$8:$J$117,0)),"Unknown type code",IF(OR(G24="",I24=""),"Env and app required",IF(AND(VLOOKUP(C24,Codes!$J$8:$O$117,4,FALSE)="Global",H24&lt;&gt;""),"Global type: leave region blank",IF(AND(VLOOKUP(C24,Codes!$J$8:$O$117,4,FALSE)&lt;&gt;"Global",H24=""),"Region required",IF(AND(VLOOKUP(C24,Codes!$J$8:$O$117,5,FALSE)="Required",J24=""),"Qualifier required",IF(AND(VLOOKUP(C24,Codes!$J$8:$O$117,5,FALSE)="None",J24&lt;&gt;""),"This type takes no qualifier",IF(AND(J24&lt;&gt;"",VLOOKUP(C24,Codes!$J$8:$O$117,6,FALSE)&lt;&gt;"-",ISERROR(SEARCH(", "&amp;J24&amp;",",", "&amp;VLOOKUP(C24,Codes!$J$8:$O$117,6,FALSE)&amp;","))),"Qualifier not in allowed list",IF(COUNTIF($M$5:$M$304,M24)&gt;1,"Duplicate name","OK")))))))))</f>
        <v/>
      </c>
      <c r="O24" s="10"/>
      <c r="P24" s="10"/>
      <c r="Q24" s="10"/>
    </row>
    <row r="25" spans="1:17" x14ac:dyDescent="0.25">
      <c r="A25" s="10"/>
      <c r="B25" s="10"/>
      <c r="C25" s="10"/>
      <c r="D25" s="15" t="str">
        <f>IF(C25="","",IFERROR(VLOOKUP(C25,Codes!$J$8:$O$117,2,FALSE),"Unknown type"))</f>
        <v/>
      </c>
      <c r="E25" s="10"/>
      <c r="F25" s="10"/>
      <c r="G25" s="10"/>
      <c r="H25" s="10"/>
      <c r="I25" s="10"/>
      <c r="J25" s="10"/>
      <c r="K25" s="16" t="str">
        <f>IF(C25="","",IFERROR(VLOOKUP(C25,Codes!$J$8:$O$117,6,FALSE),""))</f>
        <v/>
      </c>
      <c r="L25" s="10"/>
      <c r="M25" s="14" t="str">
        <f>IF(C25="","",LOWER(Codes!$B$4&amp;"-"&amp;G25&amp;IF(H25="","","-"&amp;H25)&amp;"-"&amp;C25&amp;"-"&amp;I25&amp;IF(J25="","","-"&amp;J25)&amp;"-"&amp;IF(L25="","01",TEXT(L25,"00"))))</f>
        <v/>
      </c>
      <c r="N25" s="15" t="str">
        <f>IF(C25="","",IF(ISNA(MATCH(C25,Codes!$J$8:$J$117,0)),"Unknown type code",IF(OR(G25="",I25=""),"Env and app required",IF(AND(VLOOKUP(C25,Codes!$J$8:$O$117,4,FALSE)="Global",H25&lt;&gt;""),"Global type: leave region blank",IF(AND(VLOOKUP(C25,Codes!$J$8:$O$117,4,FALSE)&lt;&gt;"Global",H25=""),"Region required",IF(AND(VLOOKUP(C25,Codes!$J$8:$O$117,5,FALSE)="Required",J25=""),"Qualifier required",IF(AND(VLOOKUP(C25,Codes!$J$8:$O$117,5,FALSE)="None",J25&lt;&gt;""),"This type takes no qualifier",IF(AND(J25&lt;&gt;"",VLOOKUP(C25,Codes!$J$8:$O$117,6,FALSE)&lt;&gt;"-",ISERROR(SEARCH(", "&amp;J25&amp;",",", "&amp;VLOOKUP(C25,Codes!$J$8:$O$117,6,FALSE)&amp;","))),"Qualifier not in allowed list",IF(COUNTIF($M$5:$M$304,M25)&gt;1,"Duplicate name","OK")))))))))</f>
        <v/>
      </c>
      <c r="O25" s="10"/>
      <c r="P25" s="10"/>
      <c r="Q25" s="10"/>
    </row>
    <row r="26" spans="1:17" x14ac:dyDescent="0.25">
      <c r="A26" s="10"/>
      <c r="B26" s="10"/>
      <c r="C26" s="10"/>
      <c r="D26" s="15" t="str">
        <f>IF(C26="","",IFERROR(VLOOKUP(C26,Codes!$J$8:$O$117,2,FALSE),"Unknown type"))</f>
        <v/>
      </c>
      <c r="E26" s="10"/>
      <c r="F26" s="10"/>
      <c r="G26" s="10"/>
      <c r="H26" s="10"/>
      <c r="I26" s="10"/>
      <c r="J26" s="10"/>
      <c r="K26" s="16" t="str">
        <f>IF(C26="","",IFERROR(VLOOKUP(C26,Codes!$J$8:$O$117,6,FALSE),""))</f>
        <v/>
      </c>
      <c r="L26" s="10"/>
      <c r="M26" s="14" t="str">
        <f>IF(C26="","",LOWER(Codes!$B$4&amp;"-"&amp;G26&amp;IF(H26="","","-"&amp;H26)&amp;"-"&amp;C26&amp;"-"&amp;I26&amp;IF(J26="","","-"&amp;J26)&amp;"-"&amp;IF(L26="","01",TEXT(L26,"00"))))</f>
        <v/>
      </c>
      <c r="N26" s="15" t="str">
        <f>IF(C26="","",IF(ISNA(MATCH(C26,Codes!$J$8:$J$117,0)),"Unknown type code",IF(OR(G26="",I26=""),"Env and app required",IF(AND(VLOOKUP(C26,Codes!$J$8:$O$117,4,FALSE)="Global",H26&lt;&gt;""),"Global type: leave region blank",IF(AND(VLOOKUP(C26,Codes!$J$8:$O$117,4,FALSE)&lt;&gt;"Global",H26=""),"Region required",IF(AND(VLOOKUP(C26,Codes!$J$8:$O$117,5,FALSE)="Required",J26=""),"Qualifier required",IF(AND(VLOOKUP(C26,Codes!$J$8:$O$117,5,FALSE)="None",J26&lt;&gt;""),"This type takes no qualifier",IF(AND(J26&lt;&gt;"",VLOOKUP(C26,Codes!$J$8:$O$117,6,FALSE)&lt;&gt;"-",ISERROR(SEARCH(", "&amp;J26&amp;",",", "&amp;VLOOKUP(C26,Codes!$J$8:$O$117,6,FALSE)&amp;","))),"Qualifier not in allowed list",IF(COUNTIF($M$5:$M$304,M26)&gt;1,"Duplicate name","OK")))))))))</f>
        <v/>
      </c>
      <c r="O26" s="10"/>
      <c r="P26" s="10"/>
      <c r="Q26" s="10"/>
    </row>
    <row r="27" spans="1:17" x14ac:dyDescent="0.25">
      <c r="A27" s="10"/>
      <c r="B27" s="10"/>
      <c r="C27" s="10"/>
      <c r="D27" s="15" t="str">
        <f>IF(C27="","",IFERROR(VLOOKUP(C27,Codes!$J$8:$O$117,2,FALSE),"Unknown type"))</f>
        <v/>
      </c>
      <c r="E27" s="10"/>
      <c r="F27" s="10"/>
      <c r="G27" s="10"/>
      <c r="H27" s="10"/>
      <c r="I27" s="10"/>
      <c r="J27" s="10"/>
      <c r="K27" s="16" t="str">
        <f>IF(C27="","",IFERROR(VLOOKUP(C27,Codes!$J$8:$O$117,6,FALSE),""))</f>
        <v/>
      </c>
      <c r="L27" s="10"/>
      <c r="M27" s="14" t="str">
        <f>IF(C27="","",LOWER(Codes!$B$4&amp;"-"&amp;G27&amp;IF(H27="","","-"&amp;H27)&amp;"-"&amp;C27&amp;"-"&amp;I27&amp;IF(J27="","","-"&amp;J27)&amp;"-"&amp;IF(L27="","01",TEXT(L27,"00"))))</f>
        <v/>
      </c>
      <c r="N27" s="15" t="str">
        <f>IF(C27="","",IF(ISNA(MATCH(C27,Codes!$J$8:$J$117,0)),"Unknown type code",IF(OR(G27="",I27=""),"Env and app required",IF(AND(VLOOKUP(C27,Codes!$J$8:$O$117,4,FALSE)="Global",H27&lt;&gt;""),"Global type: leave region blank",IF(AND(VLOOKUP(C27,Codes!$J$8:$O$117,4,FALSE)&lt;&gt;"Global",H27=""),"Region required",IF(AND(VLOOKUP(C27,Codes!$J$8:$O$117,5,FALSE)="Required",J27=""),"Qualifier required",IF(AND(VLOOKUP(C27,Codes!$J$8:$O$117,5,FALSE)="None",J27&lt;&gt;""),"This type takes no qualifier",IF(AND(J27&lt;&gt;"",VLOOKUP(C27,Codes!$J$8:$O$117,6,FALSE)&lt;&gt;"-",ISERROR(SEARCH(", "&amp;J27&amp;",",", "&amp;VLOOKUP(C27,Codes!$J$8:$O$117,6,FALSE)&amp;","))),"Qualifier not in allowed list",IF(COUNTIF($M$5:$M$304,M27)&gt;1,"Duplicate name","OK")))))))))</f>
        <v/>
      </c>
      <c r="O27" s="10"/>
      <c r="P27" s="10"/>
      <c r="Q27" s="10"/>
    </row>
    <row r="28" spans="1:17" x14ac:dyDescent="0.25">
      <c r="A28" s="10"/>
      <c r="B28" s="10"/>
      <c r="C28" s="10"/>
      <c r="D28" s="15" t="str">
        <f>IF(C28="","",IFERROR(VLOOKUP(C28,Codes!$J$8:$O$117,2,FALSE),"Unknown type"))</f>
        <v/>
      </c>
      <c r="E28" s="10"/>
      <c r="F28" s="10"/>
      <c r="G28" s="10"/>
      <c r="H28" s="10"/>
      <c r="I28" s="10"/>
      <c r="J28" s="10"/>
      <c r="K28" s="16" t="str">
        <f>IF(C28="","",IFERROR(VLOOKUP(C28,Codes!$J$8:$O$117,6,FALSE),""))</f>
        <v/>
      </c>
      <c r="L28" s="10"/>
      <c r="M28" s="14" t="str">
        <f>IF(C28="","",LOWER(Codes!$B$4&amp;"-"&amp;G28&amp;IF(H28="","","-"&amp;H28)&amp;"-"&amp;C28&amp;"-"&amp;I28&amp;IF(J28="","","-"&amp;J28)&amp;"-"&amp;IF(L28="","01",TEXT(L28,"00"))))</f>
        <v/>
      </c>
      <c r="N28" s="15" t="str">
        <f>IF(C28="","",IF(ISNA(MATCH(C28,Codes!$J$8:$J$117,0)),"Unknown type code",IF(OR(G28="",I28=""),"Env and app required",IF(AND(VLOOKUP(C28,Codes!$J$8:$O$117,4,FALSE)="Global",H28&lt;&gt;""),"Global type: leave region blank",IF(AND(VLOOKUP(C28,Codes!$J$8:$O$117,4,FALSE)&lt;&gt;"Global",H28=""),"Region required",IF(AND(VLOOKUP(C28,Codes!$J$8:$O$117,5,FALSE)="Required",J28=""),"Qualifier required",IF(AND(VLOOKUP(C28,Codes!$J$8:$O$117,5,FALSE)="None",J28&lt;&gt;""),"This type takes no qualifier",IF(AND(J28&lt;&gt;"",VLOOKUP(C28,Codes!$J$8:$O$117,6,FALSE)&lt;&gt;"-",ISERROR(SEARCH(", "&amp;J28&amp;",",", "&amp;VLOOKUP(C28,Codes!$J$8:$O$117,6,FALSE)&amp;","))),"Qualifier not in allowed list",IF(COUNTIF($M$5:$M$304,M28)&gt;1,"Duplicate name","OK")))))))))</f>
        <v/>
      </c>
      <c r="O28" s="10"/>
      <c r="P28" s="10"/>
      <c r="Q28" s="10"/>
    </row>
    <row r="29" spans="1:17" x14ac:dyDescent="0.25">
      <c r="A29" s="10"/>
      <c r="B29" s="10"/>
      <c r="C29" s="10"/>
      <c r="D29" s="15" t="str">
        <f>IF(C29="","",IFERROR(VLOOKUP(C29,Codes!$J$8:$O$117,2,FALSE),"Unknown type"))</f>
        <v/>
      </c>
      <c r="E29" s="10"/>
      <c r="F29" s="10"/>
      <c r="G29" s="10"/>
      <c r="H29" s="10"/>
      <c r="I29" s="10"/>
      <c r="J29" s="10"/>
      <c r="K29" s="16" t="str">
        <f>IF(C29="","",IFERROR(VLOOKUP(C29,Codes!$J$8:$O$117,6,FALSE),""))</f>
        <v/>
      </c>
      <c r="L29" s="10"/>
      <c r="M29" s="14" t="str">
        <f>IF(C29="","",LOWER(Codes!$B$4&amp;"-"&amp;G29&amp;IF(H29="","","-"&amp;H29)&amp;"-"&amp;C29&amp;"-"&amp;I29&amp;IF(J29="","","-"&amp;J29)&amp;"-"&amp;IF(L29="","01",TEXT(L29,"00"))))</f>
        <v/>
      </c>
      <c r="N29" s="15" t="str">
        <f>IF(C29="","",IF(ISNA(MATCH(C29,Codes!$J$8:$J$117,0)),"Unknown type code",IF(OR(G29="",I29=""),"Env and app required",IF(AND(VLOOKUP(C29,Codes!$J$8:$O$117,4,FALSE)="Global",H29&lt;&gt;""),"Global type: leave region blank",IF(AND(VLOOKUP(C29,Codes!$J$8:$O$117,4,FALSE)&lt;&gt;"Global",H29=""),"Region required",IF(AND(VLOOKUP(C29,Codes!$J$8:$O$117,5,FALSE)="Required",J29=""),"Qualifier required",IF(AND(VLOOKUP(C29,Codes!$J$8:$O$117,5,FALSE)="None",J29&lt;&gt;""),"This type takes no qualifier",IF(AND(J29&lt;&gt;"",VLOOKUP(C29,Codes!$J$8:$O$117,6,FALSE)&lt;&gt;"-",ISERROR(SEARCH(", "&amp;J29&amp;",",", "&amp;VLOOKUP(C29,Codes!$J$8:$O$117,6,FALSE)&amp;","))),"Qualifier not in allowed list",IF(COUNTIF($M$5:$M$304,M29)&gt;1,"Duplicate name","OK")))))))))</f>
        <v/>
      </c>
      <c r="O29" s="10"/>
      <c r="P29" s="10"/>
      <c r="Q29" s="10"/>
    </row>
    <row r="30" spans="1:17" x14ac:dyDescent="0.25">
      <c r="A30" s="10"/>
      <c r="B30" s="10"/>
      <c r="C30" s="10"/>
      <c r="D30" s="15" t="str">
        <f>IF(C30="","",IFERROR(VLOOKUP(C30,Codes!$J$8:$O$117,2,FALSE),"Unknown type"))</f>
        <v/>
      </c>
      <c r="E30" s="10"/>
      <c r="F30" s="10"/>
      <c r="G30" s="10"/>
      <c r="H30" s="10"/>
      <c r="I30" s="10"/>
      <c r="J30" s="10"/>
      <c r="K30" s="16" t="str">
        <f>IF(C30="","",IFERROR(VLOOKUP(C30,Codes!$J$8:$O$117,6,FALSE),""))</f>
        <v/>
      </c>
      <c r="L30" s="10"/>
      <c r="M30" s="14" t="str">
        <f>IF(C30="","",LOWER(Codes!$B$4&amp;"-"&amp;G30&amp;IF(H30="","","-"&amp;H30)&amp;"-"&amp;C30&amp;"-"&amp;I30&amp;IF(J30="","","-"&amp;J30)&amp;"-"&amp;IF(L30="","01",TEXT(L30,"00"))))</f>
        <v/>
      </c>
      <c r="N30" s="15" t="str">
        <f>IF(C30="","",IF(ISNA(MATCH(C30,Codes!$J$8:$J$117,0)),"Unknown type code",IF(OR(G30="",I30=""),"Env and app required",IF(AND(VLOOKUP(C30,Codes!$J$8:$O$117,4,FALSE)="Global",H30&lt;&gt;""),"Global type: leave region blank",IF(AND(VLOOKUP(C30,Codes!$J$8:$O$117,4,FALSE)&lt;&gt;"Global",H30=""),"Region required",IF(AND(VLOOKUP(C30,Codes!$J$8:$O$117,5,FALSE)="Required",J30=""),"Qualifier required",IF(AND(VLOOKUP(C30,Codes!$J$8:$O$117,5,FALSE)="None",J30&lt;&gt;""),"This type takes no qualifier",IF(AND(J30&lt;&gt;"",VLOOKUP(C30,Codes!$J$8:$O$117,6,FALSE)&lt;&gt;"-",ISERROR(SEARCH(", "&amp;J30&amp;",",", "&amp;VLOOKUP(C30,Codes!$J$8:$O$117,6,FALSE)&amp;","))),"Qualifier not in allowed list",IF(COUNTIF($M$5:$M$304,M30)&gt;1,"Duplicate name","OK")))))))))</f>
        <v/>
      </c>
      <c r="O30" s="10"/>
      <c r="P30" s="10"/>
      <c r="Q30" s="10"/>
    </row>
    <row r="31" spans="1:17" x14ac:dyDescent="0.25">
      <c r="A31" s="10"/>
      <c r="B31" s="10"/>
      <c r="C31" s="10"/>
      <c r="D31" s="15" t="str">
        <f>IF(C31="","",IFERROR(VLOOKUP(C31,Codes!$J$8:$O$117,2,FALSE),"Unknown type"))</f>
        <v/>
      </c>
      <c r="E31" s="10"/>
      <c r="F31" s="10"/>
      <c r="G31" s="10"/>
      <c r="H31" s="10"/>
      <c r="I31" s="10"/>
      <c r="J31" s="10"/>
      <c r="K31" s="16" t="str">
        <f>IF(C31="","",IFERROR(VLOOKUP(C31,Codes!$J$8:$O$117,6,FALSE),""))</f>
        <v/>
      </c>
      <c r="L31" s="10"/>
      <c r="M31" s="14" t="str">
        <f>IF(C31="","",LOWER(Codes!$B$4&amp;"-"&amp;G31&amp;IF(H31="","","-"&amp;H31)&amp;"-"&amp;C31&amp;"-"&amp;I31&amp;IF(J31="","","-"&amp;J31)&amp;"-"&amp;IF(L31="","01",TEXT(L31,"00"))))</f>
        <v/>
      </c>
      <c r="N31" s="15" t="str">
        <f>IF(C31="","",IF(ISNA(MATCH(C31,Codes!$J$8:$J$117,0)),"Unknown type code",IF(OR(G31="",I31=""),"Env and app required",IF(AND(VLOOKUP(C31,Codes!$J$8:$O$117,4,FALSE)="Global",H31&lt;&gt;""),"Global type: leave region blank",IF(AND(VLOOKUP(C31,Codes!$J$8:$O$117,4,FALSE)&lt;&gt;"Global",H31=""),"Region required",IF(AND(VLOOKUP(C31,Codes!$J$8:$O$117,5,FALSE)="Required",J31=""),"Qualifier required",IF(AND(VLOOKUP(C31,Codes!$J$8:$O$117,5,FALSE)="None",J31&lt;&gt;""),"This type takes no qualifier",IF(AND(J31&lt;&gt;"",VLOOKUP(C31,Codes!$J$8:$O$117,6,FALSE)&lt;&gt;"-",ISERROR(SEARCH(", "&amp;J31&amp;",",", "&amp;VLOOKUP(C31,Codes!$J$8:$O$117,6,FALSE)&amp;","))),"Qualifier not in allowed list",IF(COUNTIF($M$5:$M$304,M31)&gt;1,"Duplicate name","OK")))))))))</f>
        <v/>
      </c>
      <c r="O31" s="10"/>
      <c r="P31" s="10"/>
      <c r="Q31" s="10"/>
    </row>
    <row r="32" spans="1:17" x14ac:dyDescent="0.25">
      <c r="A32" s="10"/>
      <c r="B32" s="10"/>
      <c r="C32" s="10"/>
      <c r="D32" s="15" t="str">
        <f>IF(C32="","",IFERROR(VLOOKUP(C32,Codes!$J$8:$O$117,2,FALSE),"Unknown type"))</f>
        <v/>
      </c>
      <c r="E32" s="10"/>
      <c r="F32" s="10"/>
      <c r="G32" s="10"/>
      <c r="H32" s="10"/>
      <c r="I32" s="10"/>
      <c r="J32" s="10"/>
      <c r="K32" s="16" t="str">
        <f>IF(C32="","",IFERROR(VLOOKUP(C32,Codes!$J$8:$O$117,6,FALSE),""))</f>
        <v/>
      </c>
      <c r="L32" s="10"/>
      <c r="M32" s="14" t="str">
        <f>IF(C32="","",LOWER(Codes!$B$4&amp;"-"&amp;G32&amp;IF(H32="","","-"&amp;H32)&amp;"-"&amp;C32&amp;"-"&amp;I32&amp;IF(J32="","","-"&amp;J32)&amp;"-"&amp;IF(L32="","01",TEXT(L32,"00"))))</f>
        <v/>
      </c>
      <c r="N32" s="15" t="str">
        <f>IF(C32="","",IF(ISNA(MATCH(C32,Codes!$J$8:$J$117,0)),"Unknown type code",IF(OR(G32="",I32=""),"Env and app required",IF(AND(VLOOKUP(C32,Codes!$J$8:$O$117,4,FALSE)="Global",H32&lt;&gt;""),"Global type: leave region blank",IF(AND(VLOOKUP(C32,Codes!$J$8:$O$117,4,FALSE)&lt;&gt;"Global",H32=""),"Region required",IF(AND(VLOOKUP(C32,Codes!$J$8:$O$117,5,FALSE)="Required",J32=""),"Qualifier required",IF(AND(VLOOKUP(C32,Codes!$J$8:$O$117,5,FALSE)="None",J32&lt;&gt;""),"This type takes no qualifier",IF(AND(J32&lt;&gt;"",VLOOKUP(C32,Codes!$J$8:$O$117,6,FALSE)&lt;&gt;"-",ISERROR(SEARCH(", "&amp;J32&amp;",",", "&amp;VLOOKUP(C32,Codes!$J$8:$O$117,6,FALSE)&amp;","))),"Qualifier not in allowed list",IF(COUNTIF($M$5:$M$304,M32)&gt;1,"Duplicate name","OK")))))))))</f>
        <v/>
      </c>
      <c r="O32" s="10"/>
      <c r="P32" s="10"/>
      <c r="Q32" s="10"/>
    </row>
    <row r="33" spans="1:17" x14ac:dyDescent="0.25">
      <c r="A33" s="10"/>
      <c r="B33" s="10"/>
      <c r="C33" s="10"/>
      <c r="D33" s="15" t="str">
        <f>IF(C33="","",IFERROR(VLOOKUP(C33,Codes!$J$8:$O$117,2,FALSE),"Unknown type"))</f>
        <v/>
      </c>
      <c r="E33" s="10"/>
      <c r="F33" s="10"/>
      <c r="G33" s="10"/>
      <c r="H33" s="10"/>
      <c r="I33" s="10"/>
      <c r="J33" s="10"/>
      <c r="K33" s="16" t="str">
        <f>IF(C33="","",IFERROR(VLOOKUP(C33,Codes!$J$8:$O$117,6,FALSE),""))</f>
        <v/>
      </c>
      <c r="L33" s="10"/>
      <c r="M33" s="14" t="str">
        <f>IF(C33="","",LOWER(Codes!$B$4&amp;"-"&amp;G33&amp;IF(H33="","","-"&amp;H33)&amp;"-"&amp;C33&amp;"-"&amp;I33&amp;IF(J33="","","-"&amp;J33)&amp;"-"&amp;IF(L33="","01",TEXT(L33,"00"))))</f>
        <v/>
      </c>
      <c r="N33" s="15" t="str">
        <f>IF(C33="","",IF(ISNA(MATCH(C33,Codes!$J$8:$J$117,0)),"Unknown type code",IF(OR(G33="",I33=""),"Env and app required",IF(AND(VLOOKUP(C33,Codes!$J$8:$O$117,4,FALSE)="Global",H33&lt;&gt;""),"Global type: leave region blank",IF(AND(VLOOKUP(C33,Codes!$J$8:$O$117,4,FALSE)&lt;&gt;"Global",H33=""),"Region required",IF(AND(VLOOKUP(C33,Codes!$J$8:$O$117,5,FALSE)="Required",J33=""),"Qualifier required",IF(AND(VLOOKUP(C33,Codes!$J$8:$O$117,5,FALSE)="None",J33&lt;&gt;""),"This type takes no qualifier",IF(AND(J33&lt;&gt;"",VLOOKUP(C33,Codes!$J$8:$O$117,6,FALSE)&lt;&gt;"-",ISERROR(SEARCH(", "&amp;J33&amp;",",", "&amp;VLOOKUP(C33,Codes!$J$8:$O$117,6,FALSE)&amp;","))),"Qualifier not in allowed list",IF(COUNTIF($M$5:$M$304,M33)&gt;1,"Duplicate name","OK")))))))))</f>
        <v/>
      </c>
      <c r="O33" s="10"/>
      <c r="P33" s="10"/>
      <c r="Q33" s="10"/>
    </row>
    <row r="34" spans="1:17" x14ac:dyDescent="0.25">
      <c r="A34" s="10"/>
      <c r="B34" s="10"/>
      <c r="C34" s="10"/>
      <c r="D34" s="15" t="str">
        <f>IF(C34="","",IFERROR(VLOOKUP(C34,Codes!$J$8:$O$117,2,FALSE),"Unknown type"))</f>
        <v/>
      </c>
      <c r="E34" s="10"/>
      <c r="F34" s="10"/>
      <c r="G34" s="10"/>
      <c r="H34" s="10"/>
      <c r="I34" s="10"/>
      <c r="J34" s="10"/>
      <c r="K34" s="16" t="str">
        <f>IF(C34="","",IFERROR(VLOOKUP(C34,Codes!$J$8:$O$117,6,FALSE),""))</f>
        <v/>
      </c>
      <c r="L34" s="10"/>
      <c r="M34" s="14" t="str">
        <f>IF(C34="","",LOWER(Codes!$B$4&amp;"-"&amp;G34&amp;IF(H34="","","-"&amp;H34)&amp;"-"&amp;C34&amp;"-"&amp;I34&amp;IF(J34="","","-"&amp;J34)&amp;"-"&amp;IF(L34="","01",TEXT(L34,"00"))))</f>
        <v/>
      </c>
      <c r="N34" s="15" t="str">
        <f>IF(C34="","",IF(ISNA(MATCH(C34,Codes!$J$8:$J$117,0)),"Unknown type code",IF(OR(G34="",I34=""),"Env and app required",IF(AND(VLOOKUP(C34,Codes!$J$8:$O$117,4,FALSE)="Global",H34&lt;&gt;""),"Global type: leave region blank",IF(AND(VLOOKUP(C34,Codes!$J$8:$O$117,4,FALSE)&lt;&gt;"Global",H34=""),"Region required",IF(AND(VLOOKUP(C34,Codes!$J$8:$O$117,5,FALSE)="Required",J34=""),"Qualifier required",IF(AND(VLOOKUP(C34,Codes!$J$8:$O$117,5,FALSE)="None",J34&lt;&gt;""),"This type takes no qualifier",IF(AND(J34&lt;&gt;"",VLOOKUP(C34,Codes!$J$8:$O$117,6,FALSE)&lt;&gt;"-",ISERROR(SEARCH(", "&amp;J34&amp;",",", "&amp;VLOOKUP(C34,Codes!$J$8:$O$117,6,FALSE)&amp;","))),"Qualifier not in allowed list",IF(COUNTIF($M$5:$M$304,M34)&gt;1,"Duplicate name","OK")))))))))</f>
        <v/>
      </c>
      <c r="O34" s="10"/>
      <c r="P34" s="10"/>
      <c r="Q34" s="10"/>
    </row>
    <row r="35" spans="1:17" x14ac:dyDescent="0.25">
      <c r="A35" s="10"/>
      <c r="B35" s="10"/>
      <c r="C35" s="10"/>
      <c r="D35" s="15" t="str">
        <f>IF(C35="","",IFERROR(VLOOKUP(C35,Codes!$J$8:$O$117,2,FALSE),"Unknown type"))</f>
        <v/>
      </c>
      <c r="E35" s="10"/>
      <c r="F35" s="10"/>
      <c r="G35" s="10"/>
      <c r="H35" s="10"/>
      <c r="I35" s="10"/>
      <c r="J35" s="10"/>
      <c r="K35" s="16" t="str">
        <f>IF(C35="","",IFERROR(VLOOKUP(C35,Codes!$J$8:$O$117,6,FALSE),""))</f>
        <v/>
      </c>
      <c r="L35" s="10"/>
      <c r="M35" s="14" t="str">
        <f>IF(C35="","",LOWER(Codes!$B$4&amp;"-"&amp;G35&amp;IF(H35="","","-"&amp;H35)&amp;"-"&amp;C35&amp;"-"&amp;I35&amp;IF(J35="","","-"&amp;J35)&amp;"-"&amp;IF(L35="","01",TEXT(L35,"00"))))</f>
        <v/>
      </c>
      <c r="N35" s="15" t="str">
        <f>IF(C35="","",IF(ISNA(MATCH(C35,Codes!$J$8:$J$117,0)),"Unknown type code",IF(OR(G35="",I35=""),"Env and app required",IF(AND(VLOOKUP(C35,Codes!$J$8:$O$117,4,FALSE)="Global",H35&lt;&gt;""),"Global type: leave region blank",IF(AND(VLOOKUP(C35,Codes!$J$8:$O$117,4,FALSE)&lt;&gt;"Global",H35=""),"Region required",IF(AND(VLOOKUP(C35,Codes!$J$8:$O$117,5,FALSE)="Required",J35=""),"Qualifier required",IF(AND(VLOOKUP(C35,Codes!$J$8:$O$117,5,FALSE)="None",J35&lt;&gt;""),"This type takes no qualifier",IF(AND(J35&lt;&gt;"",VLOOKUP(C35,Codes!$J$8:$O$117,6,FALSE)&lt;&gt;"-",ISERROR(SEARCH(", "&amp;J35&amp;",",", "&amp;VLOOKUP(C35,Codes!$J$8:$O$117,6,FALSE)&amp;","))),"Qualifier not in allowed list",IF(COUNTIF($M$5:$M$304,M35)&gt;1,"Duplicate name","OK")))))))))</f>
        <v/>
      </c>
      <c r="O35" s="10"/>
      <c r="P35" s="10"/>
      <c r="Q35" s="10"/>
    </row>
    <row r="36" spans="1:17" x14ac:dyDescent="0.25">
      <c r="A36" s="10"/>
      <c r="B36" s="10"/>
      <c r="C36" s="10"/>
      <c r="D36" s="15" t="str">
        <f>IF(C36="","",IFERROR(VLOOKUP(C36,Codes!$J$8:$O$117,2,FALSE),"Unknown type"))</f>
        <v/>
      </c>
      <c r="E36" s="10"/>
      <c r="F36" s="10"/>
      <c r="G36" s="10"/>
      <c r="H36" s="10"/>
      <c r="I36" s="10"/>
      <c r="J36" s="10"/>
      <c r="K36" s="16" t="str">
        <f>IF(C36="","",IFERROR(VLOOKUP(C36,Codes!$J$8:$O$117,6,FALSE),""))</f>
        <v/>
      </c>
      <c r="L36" s="10"/>
      <c r="M36" s="14" t="str">
        <f>IF(C36="","",LOWER(Codes!$B$4&amp;"-"&amp;G36&amp;IF(H36="","","-"&amp;H36)&amp;"-"&amp;C36&amp;"-"&amp;I36&amp;IF(J36="","","-"&amp;J36)&amp;"-"&amp;IF(L36="","01",TEXT(L36,"00"))))</f>
        <v/>
      </c>
      <c r="N36" s="15" t="str">
        <f>IF(C36="","",IF(ISNA(MATCH(C36,Codes!$J$8:$J$117,0)),"Unknown type code",IF(OR(G36="",I36=""),"Env and app required",IF(AND(VLOOKUP(C36,Codes!$J$8:$O$117,4,FALSE)="Global",H36&lt;&gt;""),"Global type: leave region blank",IF(AND(VLOOKUP(C36,Codes!$J$8:$O$117,4,FALSE)&lt;&gt;"Global",H36=""),"Region required",IF(AND(VLOOKUP(C36,Codes!$J$8:$O$117,5,FALSE)="Required",J36=""),"Qualifier required",IF(AND(VLOOKUP(C36,Codes!$J$8:$O$117,5,FALSE)="None",J36&lt;&gt;""),"This type takes no qualifier",IF(AND(J36&lt;&gt;"",VLOOKUP(C36,Codes!$J$8:$O$117,6,FALSE)&lt;&gt;"-",ISERROR(SEARCH(", "&amp;J36&amp;",",", "&amp;VLOOKUP(C36,Codes!$J$8:$O$117,6,FALSE)&amp;","))),"Qualifier not in allowed list",IF(COUNTIF($M$5:$M$304,M36)&gt;1,"Duplicate name","OK")))))))))</f>
        <v/>
      </c>
      <c r="O36" s="10"/>
      <c r="P36" s="10"/>
      <c r="Q36" s="10"/>
    </row>
    <row r="37" spans="1:17" x14ac:dyDescent="0.25">
      <c r="A37" s="10"/>
      <c r="B37" s="10"/>
      <c r="C37" s="10"/>
      <c r="D37" s="15" t="str">
        <f>IF(C37="","",IFERROR(VLOOKUP(C37,Codes!$J$8:$O$117,2,FALSE),"Unknown type"))</f>
        <v/>
      </c>
      <c r="E37" s="10"/>
      <c r="F37" s="10"/>
      <c r="G37" s="10"/>
      <c r="H37" s="10"/>
      <c r="I37" s="10"/>
      <c r="J37" s="10"/>
      <c r="K37" s="16" t="str">
        <f>IF(C37="","",IFERROR(VLOOKUP(C37,Codes!$J$8:$O$117,6,FALSE),""))</f>
        <v/>
      </c>
      <c r="L37" s="10"/>
      <c r="M37" s="14" t="str">
        <f>IF(C37="","",LOWER(Codes!$B$4&amp;"-"&amp;G37&amp;IF(H37="","","-"&amp;H37)&amp;"-"&amp;C37&amp;"-"&amp;I37&amp;IF(J37="","","-"&amp;J37)&amp;"-"&amp;IF(L37="","01",TEXT(L37,"00"))))</f>
        <v/>
      </c>
      <c r="N37" s="15" t="str">
        <f>IF(C37="","",IF(ISNA(MATCH(C37,Codes!$J$8:$J$117,0)),"Unknown type code",IF(OR(G37="",I37=""),"Env and app required",IF(AND(VLOOKUP(C37,Codes!$J$8:$O$117,4,FALSE)="Global",H37&lt;&gt;""),"Global type: leave region blank",IF(AND(VLOOKUP(C37,Codes!$J$8:$O$117,4,FALSE)&lt;&gt;"Global",H37=""),"Region required",IF(AND(VLOOKUP(C37,Codes!$J$8:$O$117,5,FALSE)="Required",J37=""),"Qualifier required",IF(AND(VLOOKUP(C37,Codes!$J$8:$O$117,5,FALSE)="None",J37&lt;&gt;""),"This type takes no qualifier",IF(AND(J37&lt;&gt;"",VLOOKUP(C37,Codes!$J$8:$O$117,6,FALSE)&lt;&gt;"-",ISERROR(SEARCH(", "&amp;J37&amp;",",", "&amp;VLOOKUP(C37,Codes!$J$8:$O$117,6,FALSE)&amp;","))),"Qualifier not in allowed list",IF(COUNTIF($M$5:$M$304,M37)&gt;1,"Duplicate name","OK")))))))))</f>
        <v/>
      </c>
      <c r="O37" s="10"/>
      <c r="P37" s="10"/>
      <c r="Q37" s="10"/>
    </row>
    <row r="38" spans="1:17" x14ac:dyDescent="0.25">
      <c r="A38" s="10"/>
      <c r="B38" s="10"/>
      <c r="C38" s="10"/>
      <c r="D38" s="15" t="str">
        <f>IF(C38="","",IFERROR(VLOOKUP(C38,Codes!$J$8:$O$117,2,FALSE),"Unknown type"))</f>
        <v/>
      </c>
      <c r="E38" s="10"/>
      <c r="F38" s="10"/>
      <c r="G38" s="10"/>
      <c r="H38" s="10"/>
      <c r="I38" s="10"/>
      <c r="J38" s="10"/>
      <c r="K38" s="16" t="str">
        <f>IF(C38="","",IFERROR(VLOOKUP(C38,Codes!$J$8:$O$117,6,FALSE),""))</f>
        <v/>
      </c>
      <c r="L38" s="10"/>
      <c r="M38" s="14" t="str">
        <f>IF(C38="","",LOWER(Codes!$B$4&amp;"-"&amp;G38&amp;IF(H38="","","-"&amp;H38)&amp;"-"&amp;C38&amp;"-"&amp;I38&amp;IF(J38="","","-"&amp;J38)&amp;"-"&amp;IF(L38="","01",TEXT(L38,"00"))))</f>
        <v/>
      </c>
      <c r="N38" s="15" t="str">
        <f>IF(C38="","",IF(ISNA(MATCH(C38,Codes!$J$8:$J$117,0)),"Unknown type code",IF(OR(G38="",I38=""),"Env and app required",IF(AND(VLOOKUP(C38,Codes!$J$8:$O$117,4,FALSE)="Global",H38&lt;&gt;""),"Global type: leave region blank",IF(AND(VLOOKUP(C38,Codes!$J$8:$O$117,4,FALSE)&lt;&gt;"Global",H38=""),"Region required",IF(AND(VLOOKUP(C38,Codes!$J$8:$O$117,5,FALSE)="Required",J38=""),"Qualifier required",IF(AND(VLOOKUP(C38,Codes!$J$8:$O$117,5,FALSE)="None",J38&lt;&gt;""),"This type takes no qualifier",IF(AND(J38&lt;&gt;"",VLOOKUP(C38,Codes!$J$8:$O$117,6,FALSE)&lt;&gt;"-",ISERROR(SEARCH(", "&amp;J38&amp;",",", "&amp;VLOOKUP(C38,Codes!$J$8:$O$117,6,FALSE)&amp;","))),"Qualifier not in allowed list",IF(COUNTIF($M$5:$M$304,M38)&gt;1,"Duplicate name","OK")))))))))</f>
        <v/>
      </c>
      <c r="O38" s="10"/>
      <c r="P38" s="10"/>
      <c r="Q38" s="10"/>
    </row>
    <row r="39" spans="1:17" x14ac:dyDescent="0.25">
      <c r="A39" s="10"/>
      <c r="B39" s="10"/>
      <c r="C39" s="10"/>
      <c r="D39" s="15" t="str">
        <f>IF(C39="","",IFERROR(VLOOKUP(C39,Codes!$J$8:$O$117,2,FALSE),"Unknown type"))</f>
        <v/>
      </c>
      <c r="E39" s="10"/>
      <c r="F39" s="10"/>
      <c r="G39" s="10"/>
      <c r="H39" s="10"/>
      <c r="I39" s="10"/>
      <c r="J39" s="10"/>
      <c r="K39" s="16" t="str">
        <f>IF(C39="","",IFERROR(VLOOKUP(C39,Codes!$J$8:$O$117,6,FALSE),""))</f>
        <v/>
      </c>
      <c r="L39" s="10"/>
      <c r="M39" s="14" t="str">
        <f>IF(C39="","",LOWER(Codes!$B$4&amp;"-"&amp;G39&amp;IF(H39="","","-"&amp;H39)&amp;"-"&amp;C39&amp;"-"&amp;I39&amp;IF(J39="","","-"&amp;J39)&amp;"-"&amp;IF(L39="","01",TEXT(L39,"00"))))</f>
        <v/>
      </c>
      <c r="N39" s="15" t="str">
        <f>IF(C39="","",IF(ISNA(MATCH(C39,Codes!$J$8:$J$117,0)),"Unknown type code",IF(OR(G39="",I39=""),"Env and app required",IF(AND(VLOOKUP(C39,Codes!$J$8:$O$117,4,FALSE)="Global",H39&lt;&gt;""),"Global type: leave region blank",IF(AND(VLOOKUP(C39,Codes!$J$8:$O$117,4,FALSE)&lt;&gt;"Global",H39=""),"Region required",IF(AND(VLOOKUP(C39,Codes!$J$8:$O$117,5,FALSE)="Required",J39=""),"Qualifier required",IF(AND(VLOOKUP(C39,Codes!$J$8:$O$117,5,FALSE)="None",J39&lt;&gt;""),"This type takes no qualifier",IF(AND(J39&lt;&gt;"",VLOOKUP(C39,Codes!$J$8:$O$117,6,FALSE)&lt;&gt;"-",ISERROR(SEARCH(", "&amp;J39&amp;",",", "&amp;VLOOKUP(C39,Codes!$J$8:$O$117,6,FALSE)&amp;","))),"Qualifier not in allowed list",IF(COUNTIF($M$5:$M$304,M39)&gt;1,"Duplicate name","OK")))))))))</f>
        <v/>
      </c>
      <c r="O39" s="10"/>
      <c r="P39" s="10"/>
      <c r="Q39" s="10"/>
    </row>
    <row r="40" spans="1:17" x14ac:dyDescent="0.25">
      <c r="A40" s="10"/>
      <c r="B40" s="10"/>
      <c r="C40" s="10"/>
      <c r="D40" s="15" t="str">
        <f>IF(C40="","",IFERROR(VLOOKUP(C40,Codes!$J$8:$O$117,2,FALSE),"Unknown type"))</f>
        <v/>
      </c>
      <c r="E40" s="10"/>
      <c r="F40" s="10"/>
      <c r="G40" s="10"/>
      <c r="H40" s="10"/>
      <c r="I40" s="10"/>
      <c r="J40" s="10"/>
      <c r="K40" s="16" t="str">
        <f>IF(C40="","",IFERROR(VLOOKUP(C40,Codes!$J$8:$O$117,6,FALSE),""))</f>
        <v/>
      </c>
      <c r="L40" s="10"/>
      <c r="M40" s="14" t="str">
        <f>IF(C40="","",LOWER(Codes!$B$4&amp;"-"&amp;G40&amp;IF(H40="","","-"&amp;H40)&amp;"-"&amp;C40&amp;"-"&amp;I40&amp;IF(J40="","","-"&amp;J40)&amp;"-"&amp;IF(L40="","01",TEXT(L40,"00"))))</f>
        <v/>
      </c>
      <c r="N40" s="15" t="str">
        <f>IF(C40="","",IF(ISNA(MATCH(C40,Codes!$J$8:$J$117,0)),"Unknown type code",IF(OR(G40="",I40=""),"Env and app required",IF(AND(VLOOKUP(C40,Codes!$J$8:$O$117,4,FALSE)="Global",H40&lt;&gt;""),"Global type: leave region blank",IF(AND(VLOOKUP(C40,Codes!$J$8:$O$117,4,FALSE)&lt;&gt;"Global",H40=""),"Region required",IF(AND(VLOOKUP(C40,Codes!$J$8:$O$117,5,FALSE)="Required",J40=""),"Qualifier required",IF(AND(VLOOKUP(C40,Codes!$J$8:$O$117,5,FALSE)="None",J40&lt;&gt;""),"This type takes no qualifier",IF(AND(J40&lt;&gt;"",VLOOKUP(C40,Codes!$J$8:$O$117,6,FALSE)&lt;&gt;"-",ISERROR(SEARCH(", "&amp;J40&amp;",",", "&amp;VLOOKUP(C40,Codes!$J$8:$O$117,6,FALSE)&amp;","))),"Qualifier not in allowed list",IF(COUNTIF($M$5:$M$304,M40)&gt;1,"Duplicate name","OK")))))))))</f>
        <v/>
      </c>
      <c r="O40" s="10"/>
      <c r="P40" s="10"/>
      <c r="Q40" s="10"/>
    </row>
    <row r="41" spans="1:17" x14ac:dyDescent="0.25">
      <c r="A41" s="10"/>
      <c r="B41" s="10"/>
      <c r="C41" s="10"/>
      <c r="D41" s="15" t="str">
        <f>IF(C41="","",IFERROR(VLOOKUP(C41,Codes!$J$8:$O$117,2,FALSE),"Unknown type"))</f>
        <v/>
      </c>
      <c r="E41" s="10"/>
      <c r="F41" s="10"/>
      <c r="G41" s="10"/>
      <c r="H41" s="10"/>
      <c r="I41" s="10"/>
      <c r="J41" s="10"/>
      <c r="K41" s="16" t="str">
        <f>IF(C41="","",IFERROR(VLOOKUP(C41,Codes!$J$8:$O$117,6,FALSE),""))</f>
        <v/>
      </c>
      <c r="L41" s="10"/>
      <c r="M41" s="14" t="str">
        <f>IF(C41="","",LOWER(Codes!$B$4&amp;"-"&amp;G41&amp;IF(H41="","","-"&amp;H41)&amp;"-"&amp;C41&amp;"-"&amp;I41&amp;IF(J41="","","-"&amp;J41)&amp;"-"&amp;IF(L41="","01",TEXT(L41,"00"))))</f>
        <v/>
      </c>
      <c r="N41" s="15" t="str">
        <f>IF(C41="","",IF(ISNA(MATCH(C41,Codes!$J$8:$J$117,0)),"Unknown type code",IF(OR(G41="",I41=""),"Env and app required",IF(AND(VLOOKUP(C41,Codes!$J$8:$O$117,4,FALSE)="Global",H41&lt;&gt;""),"Global type: leave region blank",IF(AND(VLOOKUP(C41,Codes!$J$8:$O$117,4,FALSE)&lt;&gt;"Global",H41=""),"Region required",IF(AND(VLOOKUP(C41,Codes!$J$8:$O$117,5,FALSE)="Required",J41=""),"Qualifier required",IF(AND(VLOOKUP(C41,Codes!$J$8:$O$117,5,FALSE)="None",J41&lt;&gt;""),"This type takes no qualifier",IF(AND(J41&lt;&gt;"",VLOOKUP(C41,Codes!$J$8:$O$117,6,FALSE)&lt;&gt;"-",ISERROR(SEARCH(", "&amp;J41&amp;",",", "&amp;VLOOKUP(C41,Codes!$J$8:$O$117,6,FALSE)&amp;","))),"Qualifier not in allowed list",IF(COUNTIF($M$5:$M$304,M41)&gt;1,"Duplicate name","OK")))))))))</f>
        <v/>
      </c>
      <c r="O41" s="10"/>
      <c r="P41" s="10"/>
      <c r="Q41" s="10"/>
    </row>
    <row r="42" spans="1:17" x14ac:dyDescent="0.25">
      <c r="A42" s="10"/>
      <c r="B42" s="10"/>
      <c r="C42" s="10"/>
      <c r="D42" s="15" t="str">
        <f>IF(C42="","",IFERROR(VLOOKUP(C42,Codes!$J$8:$O$117,2,FALSE),"Unknown type"))</f>
        <v/>
      </c>
      <c r="E42" s="10"/>
      <c r="F42" s="10"/>
      <c r="G42" s="10"/>
      <c r="H42" s="10"/>
      <c r="I42" s="10"/>
      <c r="J42" s="10"/>
      <c r="K42" s="16" t="str">
        <f>IF(C42="","",IFERROR(VLOOKUP(C42,Codes!$J$8:$O$117,6,FALSE),""))</f>
        <v/>
      </c>
      <c r="L42" s="10"/>
      <c r="M42" s="14" t="str">
        <f>IF(C42="","",LOWER(Codes!$B$4&amp;"-"&amp;G42&amp;IF(H42="","","-"&amp;H42)&amp;"-"&amp;C42&amp;"-"&amp;I42&amp;IF(J42="","","-"&amp;J42)&amp;"-"&amp;IF(L42="","01",TEXT(L42,"00"))))</f>
        <v/>
      </c>
      <c r="N42" s="15" t="str">
        <f>IF(C42="","",IF(ISNA(MATCH(C42,Codes!$J$8:$J$117,0)),"Unknown type code",IF(OR(G42="",I42=""),"Env and app required",IF(AND(VLOOKUP(C42,Codes!$J$8:$O$117,4,FALSE)="Global",H42&lt;&gt;""),"Global type: leave region blank",IF(AND(VLOOKUP(C42,Codes!$J$8:$O$117,4,FALSE)&lt;&gt;"Global",H42=""),"Region required",IF(AND(VLOOKUP(C42,Codes!$J$8:$O$117,5,FALSE)="Required",J42=""),"Qualifier required",IF(AND(VLOOKUP(C42,Codes!$J$8:$O$117,5,FALSE)="None",J42&lt;&gt;""),"This type takes no qualifier",IF(AND(J42&lt;&gt;"",VLOOKUP(C42,Codes!$J$8:$O$117,6,FALSE)&lt;&gt;"-",ISERROR(SEARCH(", "&amp;J42&amp;",",", "&amp;VLOOKUP(C42,Codes!$J$8:$O$117,6,FALSE)&amp;","))),"Qualifier not in allowed list",IF(COUNTIF($M$5:$M$304,M42)&gt;1,"Duplicate name","OK")))))))))</f>
        <v/>
      </c>
      <c r="O42" s="10"/>
      <c r="P42" s="10"/>
      <c r="Q42" s="10"/>
    </row>
    <row r="43" spans="1:17" x14ac:dyDescent="0.25">
      <c r="A43" s="10"/>
      <c r="B43" s="10"/>
      <c r="C43" s="10"/>
      <c r="D43" s="15" t="str">
        <f>IF(C43="","",IFERROR(VLOOKUP(C43,Codes!$J$8:$O$117,2,FALSE),"Unknown type"))</f>
        <v/>
      </c>
      <c r="E43" s="10"/>
      <c r="F43" s="10"/>
      <c r="G43" s="10"/>
      <c r="H43" s="10"/>
      <c r="I43" s="10"/>
      <c r="J43" s="10"/>
      <c r="K43" s="16" t="str">
        <f>IF(C43="","",IFERROR(VLOOKUP(C43,Codes!$J$8:$O$117,6,FALSE),""))</f>
        <v/>
      </c>
      <c r="L43" s="10"/>
      <c r="M43" s="14" t="str">
        <f>IF(C43="","",LOWER(Codes!$B$4&amp;"-"&amp;G43&amp;IF(H43="","","-"&amp;H43)&amp;"-"&amp;C43&amp;"-"&amp;I43&amp;IF(J43="","","-"&amp;J43)&amp;"-"&amp;IF(L43="","01",TEXT(L43,"00"))))</f>
        <v/>
      </c>
      <c r="N43" s="15" t="str">
        <f>IF(C43="","",IF(ISNA(MATCH(C43,Codes!$J$8:$J$117,0)),"Unknown type code",IF(OR(G43="",I43=""),"Env and app required",IF(AND(VLOOKUP(C43,Codes!$J$8:$O$117,4,FALSE)="Global",H43&lt;&gt;""),"Global type: leave region blank",IF(AND(VLOOKUP(C43,Codes!$J$8:$O$117,4,FALSE)&lt;&gt;"Global",H43=""),"Region required",IF(AND(VLOOKUP(C43,Codes!$J$8:$O$117,5,FALSE)="Required",J43=""),"Qualifier required",IF(AND(VLOOKUP(C43,Codes!$J$8:$O$117,5,FALSE)="None",J43&lt;&gt;""),"This type takes no qualifier",IF(AND(J43&lt;&gt;"",VLOOKUP(C43,Codes!$J$8:$O$117,6,FALSE)&lt;&gt;"-",ISERROR(SEARCH(", "&amp;J43&amp;",",", "&amp;VLOOKUP(C43,Codes!$J$8:$O$117,6,FALSE)&amp;","))),"Qualifier not in allowed list",IF(COUNTIF($M$5:$M$304,M43)&gt;1,"Duplicate name","OK")))))))))</f>
        <v/>
      </c>
      <c r="O43" s="10"/>
      <c r="P43" s="10"/>
      <c r="Q43" s="10"/>
    </row>
    <row r="44" spans="1:17" x14ac:dyDescent="0.25">
      <c r="A44" s="10"/>
      <c r="B44" s="10"/>
      <c r="C44" s="10"/>
      <c r="D44" s="15" t="str">
        <f>IF(C44="","",IFERROR(VLOOKUP(C44,Codes!$J$8:$O$117,2,FALSE),"Unknown type"))</f>
        <v/>
      </c>
      <c r="E44" s="10"/>
      <c r="F44" s="10"/>
      <c r="G44" s="10"/>
      <c r="H44" s="10"/>
      <c r="I44" s="10"/>
      <c r="J44" s="10"/>
      <c r="K44" s="16" t="str">
        <f>IF(C44="","",IFERROR(VLOOKUP(C44,Codes!$J$8:$O$117,6,FALSE),""))</f>
        <v/>
      </c>
      <c r="L44" s="10"/>
      <c r="M44" s="14" t="str">
        <f>IF(C44="","",LOWER(Codes!$B$4&amp;"-"&amp;G44&amp;IF(H44="","","-"&amp;H44)&amp;"-"&amp;C44&amp;"-"&amp;I44&amp;IF(J44="","","-"&amp;J44)&amp;"-"&amp;IF(L44="","01",TEXT(L44,"00"))))</f>
        <v/>
      </c>
      <c r="N44" s="15" t="str">
        <f>IF(C44="","",IF(ISNA(MATCH(C44,Codes!$J$8:$J$117,0)),"Unknown type code",IF(OR(G44="",I44=""),"Env and app required",IF(AND(VLOOKUP(C44,Codes!$J$8:$O$117,4,FALSE)="Global",H44&lt;&gt;""),"Global type: leave region blank",IF(AND(VLOOKUP(C44,Codes!$J$8:$O$117,4,FALSE)&lt;&gt;"Global",H44=""),"Region required",IF(AND(VLOOKUP(C44,Codes!$J$8:$O$117,5,FALSE)="Required",J44=""),"Qualifier required",IF(AND(VLOOKUP(C44,Codes!$J$8:$O$117,5,FALSE)="None",J44&lt;&gt;""),"This type takes no qualifier",IF(AND(J44&lt;&gt;"",VLOOKUP(C44,Codes!$J$8:$O$117,6,FALSE)&lt;&gt;"-",ISERROR(SEARCH(", "&amp;J44&amp;",",", "&amp;VLOOKUP(C44,Codes!$J$8:$O$117,6,FALSE)&amp;","))),"Qualifier not in allowed list",IF(COUNTIF($M$5:$M$304,M44)&gt;1,"Duplicate name","OK")))))))))</f>
        <v/>
      </c>
      <c r="O44" s="10"/>
      <c r="P44" s="10"/>
      <c r="Q44" s="10"/>
    </row>
    <row r="45" spans="1:17" x14ac:dyDescent="0.25">
      <c r="A45" s="10"/>
      <c r="B45" s="10"/>
      <c r="C45" s="10"/>
      <c r="D45" s="15" t="str">
        <f>IF(C45="","",IFERROR(VLOOKUP(C45,Codes!$J$8:$O$117,2,FALSE),"Unknown type"))</f>
        <v/>
      </c>
      <c r="E45" s="10"/>
      <c r="F45" s="10"/>
      <c r="G45" s="10"/>
      <c r="H45" s="10"/>
      <c r="I45" s="10"/>
      <c r="J45" s="10"/>
      <c r="K45" s="16" t="str">
        <f>IF(C45="","",IFERROR(VLOOKUP(C45,Codes!$J$8:$O$117,6,FALSE),""))</f>
        <v/>
      </c>
      <c r="L45" s="10"/>
      <c r="M45" s="14" t="str">
        <f>IF(C45="","",LOWER(Codes!$B$4&amp;"-"&amp;G45&amp;IF(H45="","","-"&amp;H45)&amp;"-"&amp;C45&amp;"-"&amp;I45&amp;IF(J45="","","-"&amp;J45)&amp;"-"&amp;IF(L45="","01",TEXT(L45,"00"))))</f>
        <v/>
      </c>
      <c r="N45" s="15" t="str">
        <f>IF(C45="","",IF(ISNA(MATCH(C45,Codes!$J$8:$J$117,0)),"Unknown type code",IF(OR(G45="",I45=""),"Env and app required",IF(AND(VLOOKUP(C45,Codes!$J$8:$O$117,4,FALSE)="Global",H45&lt;&gt;""),"Global type: leave region blank",IF(AND(VLOOKUP(C45,Codes!$J$8:$O$117,4,FALSE)&lt;&gt;"Global",H45=""),"Region required",IF(AND(VLOOKUP(C45,Codes!$J$8:$O$117,5,FALSE)="Required",J45=""),"Qualifier required",IF(AND(VLOOKUP(C45,Codes!$J$8:$O$117,5,FALSE)="None",J45&lt;&gt;""),"This type takes no qualifier",IF(AND(J45&lt;&gt;"",VLOOKUP(C45,Codes!$J$8:$O$117,6,FALSE)&lt;&gt;"-",ISERROR(SEARCH(", "&amp;J45&amp;",",", "&amp;VLOOKUP(C45,Codes!$J$8:$O$117,6,FALSE)&amp;","))),"Qualifier not in allowed list",IF(COUNTIF($M$5:$M$304,M45)&gt;1,"Duplicate name","OK")))))))))</f>
        <v/>
      </c>
      <c r="O45" s="10"/>
      <c r="P45" s="10"/>
      <c r="Q45" s="10"/>
    </row>
    <row r="46" spans="1:17" x14ac:dyDescent="0.25">
      <c r="A46" s="10"/>
      <c r="B46" s="10"/>
      <c r="C46" s="10"/>
      <c r="D46" s="15" t="str">
        <f>IF(C46="","",IFERROR(VLOOKUP(C46,Codes!$J$8:$O$117,2,FALSE),"Unknown type"))</f>
        <v/>
      </c>
      <c r="E46" s="10"/>
      <c r="F46" s="10"/>
      <c r="G46" s="10"/>
      <c r="H46" s="10"/>
      <c r="I46" s="10"/>
      <c r="J46" s="10"/>
      <c r="K46" s="16" t="str">
        <f>IF(C46="","",IFERROR(VLOOKUP(C46,Codes!$J$8:$O$117,6,FALSE),""))</f>
        <v/>
      </c>
      <c r="L46" s="10"/>
      <c r="M46" s="14" t="str">
        <f>IF(C46="","",LOWER(Codes!$B$4&amp;"-"&amp;G46&amp;IF(H46="","","-"&amp;H46)&amp;"-"&amp;C46&amp;"-"&amp;I46&amp;IF(J46="","","-"&amp;J46)&amp;"-"&amp;IF(L46="","01",TEXT(L46,"00"))))</f>
        <v/>
      </c>
      <c r="N46" s="15" t="str">
        <f>IF(C46="","",IF(ISNA(MATCH(C46,Codes!$J$8:$J$117,0)),"Unknown type code",IF(OR(G46="",I46=""),"Env and app required",IF(AND(VLOOKUP(C46,Codes!$J$8:$O$117,4,FALSE)="Global",H46&lt;&gt;""),"Global type: leave region blank",IF(AND(VLOOKUP(C46,Codes!$J$8:$O$117,4,FALSE)&lt;&gt;"Global",H46=""),"Region required",IF(AND(VLOOKUP(C46,Codes!$J$8:$O$117,5,FALSE)="Required",J46=""),"Qualifier required",IF(AND(VLOOKUP(C46,Codes!$J$8:$O$117,5,FALSE)="None",J46&lt;&gt;""),"This type takes no qualifier",IF(AND(J46&lt;&gt;"",VLOOKUP(C46,Codes!$J$8:$O$117,6,FALSE)&lt;&gt;"-",ISERROR(SEARCH(", "&amp;J46&amp;",",", "&amp;VLOOKUP(C46,Codes!$J$8:$O$117,6,FALSE)&amp;","))),"Qualifier not in allowed list",IF(COUNTIF($M$5:$M$304,M46)&gt;1,"Duplicate name","OK")))))))))</f>
        <v/>
      </c>
      <c r="O46" s="10"/>
      <c r="P46" s="10"/>
      <c r="Q46" s="10"/>
    </row>
    <row r="47" spans="1:17" x14ac:dyDescent="0.25">
      <c r="A47" s="10"/>
      <c r="B47" s="10"/>
      <c r="C47" s="10"/>
      <c r="D47" s="15" t="str">
        <f>IF(C47="","",IFERROR(VLOOKUP(C47,Codes!$J$8:$O$117,2,FALSE),"Unknown type"))</f>
        <v/>
      </c>
      <c r="E47" s="10"/>
      <c r="F47" s="10"/>
      <c r="G47" s="10"/>
      <c r="H47" s="10"/>
      <c r="I47" s="10"/>
      <c r="J47" s="10"/>
      <c r="K47" s="16" t="str">
        <f>IF(C47="","",IFERROR(VLOOKUP(C47,Codes!$J$8:$O$117,6,FALSE),""))</f>
        <v/>
      </c>
      <c r="L47" s="10"/>
      <c r="M47" s="14" t="str">
        <f>IF(C47="","",LOWER(Codes!$B$4&amp;"-"&amp;G47&amp;IF(H47="","","-"&amp;H47)&amp;"-"&amp;C47&amp;"-"&amp;I47&amp;IF(J47="","","-"&amp;J47)&amp;"-"&amp;IF(L47="","01",TEXT(L47,"00"))))</f>
        <v/>
      </c>
      <c r="N47" s="15" t="str">
        <f>IF(C47="","",IF(ISNA(MATCH(C47,Codes!$J$8:$J$117,0)),"Unknown type code",IF(OR(G47="",I47=""),"Env and app required",IF(AND(VLOOKUP(C47,Codes!$J$8:$O$117,4,FALSE)="Global",H47&lt;&gt;""),"Global type: leave region blank",IF(AND(VLOOKUP(C47,Codes!$J$8:$O$117,4,FALSE)&lt;&gt;"Global",H47=""),"Region required",IF(AND(VLOOKUP(C47,Codes!$J$8:$O$117,5,FALSE)="Required",J47=""),"Qualifier required",IF(AND(VLOOKUP(C47,Codes!$J$8:$O$117,5,FALSE)="None",J47&lt;&gt;""),"This type takes no qualifier",IF(AND(J47&lt;&gt;"",VLOOKUP(C47,Codes!$J$8:$O$117,6,FALSE)&lt;&gt;"-",ISERROR(SEARCH(", "&amp;J47&amp;",",", "&amp;VLOOKUP(C47,Codes!$J$8:$O$117,6,FALSE)&amp;","))),"Qualifier not in allowed list",IF(COUNTIF($M$5:$M$304,M47)&gt;1,"Duplicate name","OK")))))))))</f>
        <v/>
      </c>
      <c r="O47" s="10"/>
      <c r="P47" s="10"/>
      <c r="Q47" s="10"/>
    </row>
    <row r="48" spans="1:17" x14ac:dyDescent="0.25">
      <c r="A48" s="10"/>
      <c r="B48" s="10"/>
      <c r="C48" s="10"/>
      <c r="D48" s="15" t="str">
        <f>IF(C48="","",IFERROR(VLOOKUP(C48,Codes!$J$8:$O$117,2,FALSE),"Unknown type"))</f>
        <v/>
      </c>
      <c r="E48" s="10"/>
      <c r="F48" s="10"/>
      <c r="G48" s="10"/>
      <c r="H48" s="10"/>
      <c r="I48" s="10"/>
      <c r="J48" s="10"/>
      <c r="K48" s="16" t="str">
        <f>IF(C48="","",IFERROR(VLOOKUP(C48,Codes!$J$8:$O$117,6,FALSE),""))</f>
        <v/>
      </c>
      <c r="L48" s="10"/>
      <c r="M48" s="14" t="str">
        <f>IF(C48="","",LOWER(Codes!$B$4&amp;"-"&amp;G48&amp;IF(H48="","","-"&amp;H48)&amp;"-"&amp;C48&amp;"-"&amp;I48&amp;IF(J48="","","-"&amp;J48)&amp;"-"&amp;IF(L48="","01",TEXT(L48,"00"))))</f>
        <v/>
      </c>
      <c r="N48" s="15" t="str">
        <f>IF(C48="","",IF(ISNA(MATCH(C48,Codes!$J$8:$J$117,0)),"Unknown type code",IF(OR(G48="",I48=""),"Env and app required",IF(AND(VLOOKUP(C48,Codes!$J$8:$O$117,4,FALSE)="Global",H48&lt;&gt;""),"Global type: leave region blank",IF(AND(VLOOKUP(C48,Codes!$J$8:$O$117,4,FALSE)&lt;&gt;"Global",H48=""),"Region required",IF(AND(VLOOKUP(C48,Codes!$J$8:$O$117,5,FALSE)="Required",J48=""),"Qualifier required",IF(AND(VLOOKUP(C48,Codes!$J$8:$O$117,5,FALSE)="None",J48&lt;&gt;""),"This type takes no qualifier",IF(AND(J48&lt;&gt;"",VLOOKUP(C48,Codes!$J$8:$O$117,6,FALSE)&lt;&gt;"-",ISERROR(SEARCH(", "&amp;J48&amp;",",", "&amp;VLOOKUP(C48,Codes!$J$8:$O$117,6,FALSE)&amp;","))),"Qualifier not in allowed list",IF(COUNTIF($M$5:$M$304,M48)&gt;1,"Duplicate name","OK")))))))))</f>
        <v/>
      </c>
      <c r="O48" s="10"/>
      <c r="P48" s="10"/>
      <c r="Q48" s="10"/>
    </row>
    <row r="49" spans="1:17" x14ac:dyDescent="0.25">
      <c r="A49" s="10"/>
      <c r="B49" s="10"/>
      <c r="C49" s="10"/>
      <c r="D49" s="15" t="str">
        <f>IF(C49="","",IFERROR(VLOOKUP(C49,Codes!$J$8:$O$117,2,FALSE),"Unknown type"))</f>
        <v/>
      </c>
      <c r="E49" s="10"/>
      <c r="F49" s="10"/>
      <c r="G49" s="10"/>
      <c r="H49" s="10"/>
      <c r="I49" s="10"/>
      <c r="J49" s="10"/>
      <c r="K49" s="16" t="str">
        <f>IF(C49="","",IFERROR(VLOOKUP(C49,Codes!$J$8:$O$117,6,FALSE),""))</f>
        <v/>
      </c>
      <c r="L49" s="10"/>
      <c r="M49" s="14" t="str">
        <f>IF(C49="","",LOWER(Codes!$B$4&amp;"-"&amp;G49&amp;IF(H49="","","-"&amp;H49)&amp;"-"&amp;C49&amp;"-"&amp;I49&amp;IF(J49="","","-"&amp;J49)&amp;"-"&amp;IF(L49="","01",TEXT(L49,"00"))))</f>
        <v/>
      </c>
      <c r="N49" s="15" t="str">
        <f>IF(C49="","",IF(ISNA(MATCH(C49,Codes!$J$8:$J$117,0)),"Unknown type code",IF(OR(G49="",I49=""),"Env and app required",IF(AND(VLOOKUP(C49,Codes!$J$8:$O$117,4,FALSE)="Global",H49&lt;&gt;""),"Global type: leave region blank",IF(AND(VLOOKUP(C49,Codes!$J$8:$O$117,4,FALSE)&lt;&gt;"Global",H49=""),"Region required",IF(AND(VLOOKUP(C49,Codes!$J$8:$O$117,5,FALSE)="Required",J49=""),"Qualifier required",IF(AND(VLOOKUP(C49,Codes!$J$8:$O$117,5,FALSE)="None",J49&lt;&gt;""),"This type takes no qualifier",IF(AND(J49&lt;&gt;"",VLOOKUP(C49,Codes!$J$8:$O$117,6,FALSE)&lt;&gt;"-",ISERROR(SEARCH(", "&amp;J49&amp;",",", "&amp;VLOOKUP(C49,Codes!$J$8:$O$117,6,FALSE)&amp;","))),"Qualifier not in allowed list",IF(COUNTIF($M$5:$M$304,M49)&gt;1,"Duplicate name","OK")))))))))</f>
        <v/>
      </c>
      <c r="O49" s="10"/>
      <c r="P49" s="10"/>
      <c r="Q49" s="10"/>
    </row>
    <row r="50" spans="1:17" x14ac:dyDescent="0.25">
      <c r="A50" s="10"/>
      <c r="B50" s="10"/>
      <c r="C50" s="10"/>
      <c r="D50" s="15" t="str">
        <f>IF(C50="","",IFERROR(VLOOKUP(C50,Codes!$J$8:$O$117,2,FALSE),"Unknown type"))</f>
        <v/>
      </c>
      <c r="E50" s="10"/>
      <c r="F50" s="10"/>
      <c r="G50" s="10"/>
      <c r="H50" s="10"/>
      <c r="I50" s="10"/>
      <c r="J50" s="10"/>
      <c r="K50" s="16" t="str">
        <f>IF(C50="","",IFERROR(VLOOKUP(C50,Codes!$J$8:$O$117,6,FALSE),""))</f>
        <v/>
      </c>
      <c r="L50" s="10"/>
      <c r="M50" s="14" t="str">
        <f>IF(C50="","",LOWER(Codes!$B$4&amp;"-"&amp;G50&amp;IF(H50="","","-"&amp;H50)&amp;"-"&amp;C50&amp;"-"&amp;I50&amp;IF(J50="","","-"&amp;J50)&amp;"-"&amp;IF(L50="","01",TEXT(L50,"00"))))</f>
        <v/>
      </c>
      <c r="N50" s="15" t="str">
        <f>IF(C50="","",IF(ISNA(MATCH(C50,Codes!$J$8:$J$117,0)),"Unknown type code",IF(OR(G50="",I50=""),"Env and app required",IF(AND(VLOOKUP(C50,Codes!$J$8:$O$117,4,FALSE)="Global",H50&lt;&gt;""),"Global type: leave region blank",IF(AND(VLOOKUP(C50,Codes!$J$8:$O$117,4,FALSE)&lt;&gt;"Global",H50=""),"Region required",IF(AND(VLOOKUP(C50,Codes!$J$8:$O$117,5,FALSE)="Required",J50=""),"Qualifier required",IF(AND(VLOOKUP(C50,Codes!$J$8:$O$117,5,FALSE)="None",J50&lt;&gt;""),"This type takes no qualifier",IF(AND(J50&lt;&gt;"",VLOOKUP(C50,Codes!$J$8:$O$117,6,FALSE)&lt;&gt;"-",ISERROR(SEARCH(", "&amp;J50&amp;",",", "&amp;VLOOKUP(C50,Codes!$J$8:$O$117,6,FALSE)&amp;","))),"Qualifier not in allowed list",IF(COUNTIF($M$5:$M$304,M50)&gt;1,"Duplicate name","OK")))))))))</f>
        <v/>
      </c>
      <c r="O50" s="10"/>
      <c r="P50" s="10"/>
      <c r="Q50" s="10"/>
    </row>
    <row r="51" spans="1:17" x14ac:dyDescent="0.25">
      <c r="A51" s="10"/>
      <c r="B51" s="10"/>
      <c r="C51" s="10"/>
      <c r="D51" s="15" t="str">
        <f>IF(C51="","",IFERROR(VLOOKUP(C51,Codes!$J$8:$O$117,2,FALSE),"Unknown type"))</f>
        <v/>
      </c>
      <c r="E51" s="10"/>
      <c r="F51" s="10"/>
      <c r="G51" s="10"/>
      <c r="H51" s="10"/>
      <c r="I51" s="10"/>
      <c r="J51" s="10"/>
      <c r="K51" s="16" t="str">
        <f>IF(C51="","",IFERROR(VLOOKUP(C51,Codes!$J$8:$O$117,6,FALSE),""))</f>
        <v/>
      </c>
      <c r="L51" s="10"/>
      <c r="M51" s="14" t="str">
        <f>IF(C51="","",LOWER(Codes!$B$4&amp;"-"&amp;G51&amp;IF(H51="","","-"&amp;H51)&amp;"-"&amp;C51&amp;"-"&amp;I51&amp;IF(J51="","","-"&amp;J51)&amp;"-"&amp;IF(L51="","01",TEXT(L51,"00"))))</f>
        <v/>
      </c>
      <c r="N51" s="15" t="str">
        <f>IF(C51="","",IF(ISNA(MATCH(C51,Codes!$J$8:$J$117,0)),"Unknown type code",IF(OR(G51="",I51=""),"Env and app required",IF(AND(VLOOKUP(C51,Codes!$J$8:$O$117,4,FALSE)="Global",H51&lt;&gt;""),"Global type: leave region blank",IF(AND(VLOOKUP(C51,Codes!$J$8:$O$117,4,FALSE)&lt;&gt;"Global",H51=""),"Region required",IF(AND(VLOOKUP(C51,Codes!$J$8:$O$117,5,FALSE)="Required",J51=""),"Qualifier required",IF(AND(VLOOKUP(C51,Codes!$J$8:$O$117,5,FALSE)="None",J51&lt;&gt;""),"This type takes no qualifier",IF(AND(J51&lt;&gt;"",VLOOKUP(C51,Codes!$J$8:$O$117,6,FALSE)&lt;&gt;"-",ISERROR(SEARCH(", "&amp;J51&amp;",",", "&amp;VLOOKUP(C51,Codes!$J$8:$O$117,6,FALSE)&amp;","))),"Qualifier not in allowed list",IF(COUNTIF($M$5:$M$304,M51)&gt;1,"Duplicate name","OK")))))))))</f>
        <v/>
      </c>
      <c r="O51" s="10"/>
      <c r="P51" s="10"/>
      <c r="Q51" s="10"/>
    </row>
    <row r="52" spans="1:17" x14ac:dyDescent="0.25">
      <c r="A52" s="10"/>
      <c r="B52" s="10"/>
      <c r="C52" s="10"/>
      <c r="D52" s="15" t="str">
        <f>IF(C52="","",IFERROR(VLOOKUP(C52,Codes!$J$8:$O$117,2,FALSE),"Unknown type"))</f>
        <v/>
      </c>
      <c r="E52" s="10"/>
      <c r="F52" s="10"/>
      <c r="G52" s="10"/>
      <c r="H52" s="10"/>
      <c r="I52" s="10"/>
      <c r="J52" s="10"/>
      <c r="K52" s="16" t="str">
        <f>IF(C52="","",IFERROR(VLOOKUP(C52,Codes!$J$8:$O$117,6,FALSE),""))</f>
        <v/>
      </c>
      <c r="L52" s="10"/>
      <c r="M52" s="14" t="str">
        <f>IF(C52="","",LOWER(Codes!$B$4&amp;"-"&amp;G52&amp;IF(H52="","","-"&amp;H52)&amp;"-"&amp;C52&amp;"-"&amp;I52&amp;IF(J52="","","-"&amp;J52)&amp;"-"&amp;IF(L52="","01",TEXT(L52,"00"))))</f>
        <v/>
      </c>
      <c r="N52" s="15" t="str">
        <f>IF(C52="","",IF(ISNA(MATCH(C52,Codes!$J$8:$J$117,0)),"Unknown type code",IF(OR(G52="",I52=""),"Env and app required",IF(AND(VLOOKUP(C52,Codes!$J$8:$O$117,4,FALSE)="Global",H52&lt;&gt;""),"Global type: leave region blank",IF(AND(VLOOKUP(C52,Codes!$J$8:$O$117,4,FALSE)&lt;&gt;"Global",H52=""),"Region required",IF(AND(VLOOKUP(C52,Codes!$J$8:$O$117,5,FALSE)="Required",J52=""),"Qualifier required",IF(AND(VLOOKUP(C52,Codes!$J$8:$O$117,5,FALSE)="None",J52&lt;&gt;""),"This type takes no qualifier",IF(AND(J52&lt;&gt;"",VLOOKUP(C52,Codes!$J$8:$O$117,6,FALSE)&lt;&gt;"-",ISERROR(SEARCH(", "&amp;J52&amp;",",", "&amp;VLOOKUP(C52,Codes!$J$8:$O$117,6,FALSE)&amp;","))),"Qualifier not in allowed list",IF(COUNTIF($M$5:$M$304,M52)&gt;1,"Duplicate name","OK")))))))))</f>
        <v/>
      </c>
      <c r="O52" s="10"/>
      <c r="P52" s="10"/>
      <c r="Q52" s="10"/>
    </row>
    <row r="53" spans="1:17" x14ac:dyDescent="0.25">
      <c r="A53" s="10"/>
      <c r="B53" s="10"/>
      <c r="C53" s="10"/>
      <c r="D53" s="15" t="str">
        <f>IF(C53="","",IFERROR(VLOOKUP(C53,Codes!$J$8:$O$117,2,FALSE),"Unknown type"))</f>
        <v/>
      </c>
      <c r="E53" s="10"/>
      <c r="F53" s="10"/>
      <c r="G53" s="10"/>
      <c r="H53" s="10"/>
      <c r="I53" s="10"/>
      <c r="J53" s="10"/>
      <c r="K53" s="16" t="str">
        <f>IF(C53="","",IFERROR(VLOOKUP(C53,Codes!$J$8:$O$117,6,FALSE),""))</f>
        <v/>
      </c>
      <c r="L53" s="10"/>
      <c r="M53" s="14" t="str">
        <f>IF(C53="","",LOWER(Codes!$B$4&amp;"-"&amp;G53&amp;IF(H53="","","-"&amp;H53)&amp;"-"&amp;C53&amp;"-"&amp;I53&amp;IF(J53="","","-"&amp;J53)&amp;"-"&amp;IF(L53="","01",TEXT(L53,"00"))))</f>
        <v/>
      </c>
      <c r="N53" s="15" t="str">
        <f>IF(C53="","",IF(ISNA(MATCH(C53,Codes!$J$8:$J$117,0)),"Unknown type code",IF(OR(G53="",I53=""),"Env and app required",IF(AND(VLOOKUP(C53,Codes!$J$8:$O$117,4,FALSE)="Global",H53&lt;&gt;""),"Global type: leave region blank",IF(AND(VLOOKUP(C53,Codes!$J$8:$O$117,4,FALSE)&lt;&gt;"Global",H53=""),"Region required",IF(AND(VLOOKUP(C53,Codes!$J$8:$O$117,5,FALSE)="Required",J53=""),"Qualifier required",IF(AND(VLOOKUP(C53,Codes!$J$8:$O$117,5,FALSE)="None",J53&lt;&gt;""),"This type takes no qualifier",IF(AND(J53&lt;&gt;"",VLOOKUP(C53,Codes!$J$8:$O$117,6,FALSE)&lt;&gt;"-",ISERROR(SEARCH(", "&amp;J53&amp;",",", "&amp;VLOOKUP(C53,Codes!$J$8:$O$117,6,FALSE)&amp;","))),"Qualifier not in allowed list",IF(COUNTIF($M$5:$M$304,M53)&gt;1,"Duplicate name","OK")))))))))</f>
        <v/>
      </c>
      <c r="O53" s="10"/>
      <c r="P53" s="10"/>
      <c r="Q53" s="10"/>
    </row>
    <row r="54" spans="1:17" x14ac:dyDescent="0.25">
      <c r="A54" s="10"/>
      <c r="B54" s="10"/>
      <c r="C54" s="10"/>
      <c r="D54" s="15" t="str">
        <f>IF(C54="","",IFERROR(VLOOKUP(C54,Codes!$J$8:$O$117,2,FALSE),"Unknown type"))</f>
        <v/>
      </c>
      <c r="E54" s="10"/>
      <c r="F54" s="10"/>
      <c r="G54" s="10"/>
      <c r="H54" s="10"/>
      <c r="I54" s="10"/>
      <c r="J54" s="10"/>
      <c r="K54" s="16" t="str">
        <f>IF(C54="","",IFERROR(VLOOKUP(C54,Codes!$J$8:$O$117,6,FALSE),""))</f>
        <v/>
      </c>
      <c r="L54" s="10"/>
      <c r="M54" s="14" t="str">
        <f>IF(C54="","",LOWER(Codes!$B$4&amp;"-"&amp;G54&amp;IF(H54="","","-"&amp;H54)&amp;"-"&amp;C54&amp;"-"&amp;I54&amp;IF(J54="","","-"&amp;J54)&amp;"-"&amp;IF(L54="","01",TEXT(L54,"00"))))</f>
        <v/>
      </c>
      <c r="N54" s="15" t="str">
        <f>IF(C54="","",IF(ISNA(MATCH(C54,Codes!$J$8:$J$117,0)),"Unknown type code",IF(OR(G54="",I54=""),"Env and app required",IF(AND(VLOOKUP(C54,Codes!$J$8:$O$117,4,FALSE)="Global",H54&lt;&gt;""),"Global type: leave region blank",IF(AND(VLOOKUP(C54,Codes!$J$8:$O$117,4,FALSE)&lt;&gt;"Global",H54=""),"Region required",IF(AND(VLOOKUP(C54,Codes!$J$8:$O$117,5,FALSE)="Required",J54=""),"Qualifier required",IF(AND(VLOOKUP(C54,Codes!$J$8:$O$117,5,FALSE)="None",J54&lt;&gt;""),"This type takes no qualifier",IF(AND(J54&lt;&gt;"",VLOOKUP(C54,Codes!$J$8:$O$117,6,FALSE)&lt;&gt;"-",ISERROR(SEARCH(", "&amp;J54&amp;",",", "&amp;VLOOKUP(C54,Codes!$J$8:$O$117,6,FALSE)&amp;","))),"Qualifier not in allowed list",IF(COUNTIF($M$5:$M$304,M54)&gt;1,"Duplicate name","OK")))))))))</f>
        <v/>
      </c>
      <c r="O54" s="10"/>
      <c r="P54" s="10"/>
      <c r="Q54" s="10"/>
    </row>
    <row r="55" spans="1:17" x14ac:dyDescent="0.25">
      <c r="A55" s="10"/>
      <c r="B55" s="10"/>
      <c r="C55" s="10"/>
      <c r="D55" s="15" t="str">
        <f>IF(C55="","",IFERROR(VLOOKUP(C55,Codes!$J$8:$O$117,2,FALSE),"Unknown type"))</f>
        <v/>
      </c>
      <c r="E55" s="10"/>
      <c r="F55" s="10"/>
      <c r="G55" s="10"/>
      <c r="H55" s="10"/>
      <c r="I55" s="10"/>
      <c r="J55" s="10"/>
      <c r="K55" s="16" t="str">
        <f>IF(C55="","",IFERROR(VLOOKUP(C55,Codes!$J$8:$O$117,6,FALSE),""))</f>
        <v/>
      </c>
      <c r="L55" s="10"/>
      <c r="M55" s="14" t="str">
        <f>IF(C55="","",LOWER(Codes!$B$4&amp;"-"&amp;G55&amp;IF(H55="","","-"&amp;H55)&amp;"-"&amp;C55&amp;"-"&amp;I55&amp;IF(J55="","","-"&amp;J55)&amp;"-"&amp;IF(L55="","01",TEXT(L55,"00"))))</f>
        <v/>
      </c>
      <c r="N55" s="15" t="str">
        <f>IF(C55="","",IF(ISNA(MATCH(C55,Codes!$J$8:$J$117,0)),"Unknown type code",IF(OR(G55="",I55=""),"Env and app required",IF(AND(VLOOKUP(C55,Codes!$J$8:$O$117,4,FALSE)="Global",H55&lt;&gt;""),"Global type: leave region blank",IF(AND(VLOOKUP(C55,Codes!$J$8:$O$117,4,FALSE)&lt;&gt;"Global",H55=""),"Region required",IF(AND(VLOOKUP(C55,Codes!$J$8:$O$117,5,FALSE)="Required",J55=""),"Qualifier required",IF(AND(VLOOKUP(C55,Codes!$J$8:$O$117,5,FALSE)="None",J55&lt;&gt;""),"This type takes no qualifier",IF(AND(J55&lt;&gt;"",VLOOKUP(C55,Codes!$J$8:$O$117,6,FALSE)&lt;&gt;"-",ISERROR(SEARCH(", "&amp;J55&amp;",",", "&amp;VLOOKUP(C55,Codes!$J$8:$O$117,6,FALSE)&amp;","))),"Qualifier not in allowed list",IF(COUNTIF($M$5:$M$304,M55)&gt;1,"Duplicate name","OK")))))))))</f>
        <v/>
      </c>
      <c r="O55" s="10"/>
      <c r="P55" s="10"/>
      <c r="Q55" s="10"/>
    </row>
    <row r="56" spans="1:17" x14ac:dyDescent="0.25">
      <c r="A56" s="10"/>
      <c r="B56" s="10"/>
      <c r="C56" s="10"/>
      <c r="D56" s="15" t="str">
        <f>IF(C56="","",IFERROR(VLOOKUP(C56,Codes!$J$8:$O$117,2,FALSE),"Unknown type"))</f>
        <v/>
      </c>
      <c r="E56" s="10"/>
      <c r="F56" s="10"/>
      <c r="G56" s="10"/>
      <c r="H56" s="10"/>
      <c r="I56" s="10"/>
      <c r="J56" s="10"/>
      <c r="K56" s="16" t="str">
        <f>IF(C56="","",IFERROR(VLOOKUP(C56,Codes!$J$8:$O$117,6,FALSE),""))</f>
        <v/>
      </c>
      <c r="L56" s="10"/>
      <c r="M56" s="14" t="str">
        <f>IF(C56="","",LOWER(Codes!$B$4&amp;"-"&amp;G56&amp;IF(H56="","","-"&amp;H56)&amp;"-"&amp;C56&amp;"-"&amp;I56&amp;IF(J56="","","-"&amp;J56)&amp;"-"&amp;IF(L56="","01",TEXT(L56,"00"))))</f>
        <v/>
      </c>
      <c r="N56" s="15" t="str">
        <f>IF(C56="","",IF(ISNA(MATCH(C56,Codes!$J$8:$J$117,0)),"Unknown type code",IF(OR(G56="",I56=""),"Env and app required",IF(AND(VLOOKUP(C56,Codes!$J$8:$O$117,4,FALSE)="Global",H56&lt;&gt;""),"Global type: leave region blank",IF(AND(VLOOKUP(C56,Codes!$J$8:$O$117,4,FALSE)&lt;&gt;"Global",H56=""),"Region required",IF(AND(VLOOKUP(C56,Codes!$J$8:$O$117,5,FALSE)="Required",J56=""),"Qualifier required",IF(AND(VLOOKUP(C56,Codes!$J$8:$O$117,5,FALSE)="None",J56&lt;&gt;""),"This type takes no qualifier",IF(AND(J56&lt;&gt;"",VLOOKUP(C56,Codes!$J$8:$O$117,6,FALSE)&lt;&gt;"-",ISERROR(SEARCH(", "&amp;J56&amp;",",", "&amp;VLOOKUP(C56,Codes!$J$8:$O$117,6,FALSE)&amp;","))),"Qualifier not in allowed list",IF(COUNTIF($M$5:$M$304,M56)&gt;1,"Duplicate name","OK")))))))))</f>
        <v/>
      </c>
      <c r="O56" s="10"/>
      <c r="P56" s="10"/>
      <c r="Q56" s="10"/>
    </row>
    <row r="57" spans="1:17" x14ac:dyDescent="0.25">
      <c r="A57" s="10"/>
      <c r="B57" s="10"/>
      <c r="C57" s="10"/>
      <c r="D57" s="15" t="str">
        <f>IF(C57="","",IFERROR(VLOOKUP(C57,Codes!$J$8:$O$117,2,FALSE),"Unknown type"))</f>
        <v/>
      </c>
      <c r="E57" s="10"/>
      <c r="F57" s="10"/>
      <c r="G57" s="10"/>
      <c r="H57" s="10"/>
      <c r="I57" s="10"/>
      <c r="J57" s="10"/>
      <c r="K57" s="16" t="str">
        <f>IF(C57="","",IFERROR(VLOOKUP(C57,Codes!$J$8:$O$117,6,FALSE),""))</f>
        <v/>
      </c>
      <c r="L57" s="10"/>
      <c r="M57" s="14" t="str">
        <f>IF(C57="","",LOWER(Codes!$B$4&amp;"-"&amp;G57&amp;IF(H57="","","-"&amp;H57)&amp;"-"&amp;C57&amp;"-"&amp;I57&amp;IF(J57="","","-"&amp;J57)&amp;"-"&amp;IF(L57="","01",TEXT(L57,"00"))))</f>
        <v/>
      </c>
      <c r="N57" s="15" t="str">
        <f>IF(C57="","",IF(ISNA(MATCH(C57,Codes!$J$8:$J$117,0)),"Unknown type code",IF(OR(G57="",I57=""),"Env and app required",IF(AND(VLOOKUP(C57,Codes!$J$8:$O$117,4,FALSE)="Global",H57&lt;&gt;""),"Global type: leave region blank",IF(AND(VLOOKUP(C57,Codes!$J$8:$O$117,4,FALSE)&lt;&gt;"Global",H57=""),"Region required",IF(AND(VLOOKUP(C57,Codes!$J$8:$O$117,5,FALSE)="Required",J57=""),"Qualifier required",IF(AND(VLOOKUP(C57,Codes!$J$8:$O$117,5,FALSE)="None",J57&lt;&gt;""),"This type takes no qualifier",IF(AND(J57&lt;&gt;"",VLOOKUP(C57,Codes!$J$8:$O$117,6,FALSE)&lt;&gt;"-",ISERROR(SEARCH(", "&amp;J57&amp;",",", "&amp;VLOOKUP(C57,Codes!$J$8:$O$117,6,FALSE)&amp;","))),"Qualifier not in allowed list",IF(COUNTIF($M$5:$M$304,M57)&gt;1,"Duplicate name","OK")))))))))</f>
        <v/>
      </c>
      <c r="O57" s="10"/>
      <c r="P57" s="10"/>
      <c r="Q57" s="10"/>
    </row>
    <row r="58" spans="1:17" x14ac:dyDescent="0.25">
      <c r="A58" s="10"/>
      <c r="B58" s="10"/>
      <c r="C58" s="10"/>
      <c r="D58" s="15" t="str">
        <f>IF(C58="","",IFERROR(VLOOKUP(C58,Codes!$J$8:$O$117,2,FALSE),"Unknown type"))</f>
        <v/>
      </c>
      <c r="E58" s="10"/>
      <c r="F58" s="10"/>
      <c r="G58" s="10"/>
      <c r="H58" s="10"/>
      <c r="I58" s="10"/>
      <c r="J58" s="10"/>
      <c r="K58" s="16" t="str">
        <f>IF(C58="","",IFERROR(VLOOKUP(C58,Codes!$J$8:$O$117,6,FALSE),""))</f>
        <v/>
      </c>
      <c r="L58" s="10"/>
      <c r="M58" s="14" t="str">
        <f>IF(C58="","",LOWER(Codes!$B$4&amp;"-"&amp;G58&amp;IF(H58="","","-"&amp;H58)&amp;"-"&amp;C58&amp;"-"&amp;I58&amp;IF(J58="","","-"&amp;J58)&amp;"-"&amp;IF(L58="","01",TEXT(L58,"00"))))</f>
        <v/>
      </c>
      <c r="N58" s="15" t="str">
        <f>IF(C58="","",IF(ISNA(MATCH(C58,Codes!$J$8:$J$117,0)),"Unknown type code",IF(OR(G58="",I58=""),"Env and app required",IF(AND(VLOOKUP(C58,Codes!$J$8:$O$117,4,FALSE)="Global",H58&lt;&gt;""),"Global type: leave region blank",IF(AND(VLOOKUP(C58,Codes!$J$8:$O$117,4,FALSE)&lt;&gt;"Global",H58=""),"Region required",IF(AND(VLOOKUP(C58,Codes!$J$8:$O$117,5,FALSE)="Required",J58=""),"Qualifier required",IF(AND(VLOOKUP(C58,Codes!$J$8:$O$117,5,FALSE)="None",J58&lt;&gt;""),"This type takes no qualifier",IF(AND(J58&lt;&gt;"",VLOOKUP(C58,Codes!$J$8:$O$117,6,FALSE)&lt;&gt;"-",ISERROR(SEARCH(", "&amp;J58&amp;",",", "&amp;VLOOKUP(C58,Codes!$J$8:$O$117,6,FALSE)&amp;","))),"Qualifier not in allowed list",IF(COUNTIF($M$5:$M$304,M58)&gt;1,"Duplicate name","OK")))))))))</f>
        <v/>
      </c>
      <c r="O58" s="10"/>
      <c r="P58" s="10"/>
      <c r="Q58" s="10"/>
    </row>
    <row r="59" spans="1:17" x14ac:dyDescent="0.25">
      <c r="A59" s="10"/>
      <c r="B59" s="10"/>
      <c r="C59" s="10"/>
      <c r="D59" s="15" t="str">
        <f>IF(C59="","",IFERROR(VLOOKUP(C59,Codes!$J$8:$O$117,2,FALSE),"Unknown type"))</f>
        <v/>
      </c>
      <c r="E59" s="10"/>
      <c r="F59" s="10"/>
      <c r="G59" s="10"/>
      <c r="H59" s="10"/>
      <c r="I59" s="10"/>
      <c r="J59" s="10"/>
      <c r="K59" s="16" t="str">
        <f>IF(C59="","",IFERROR(VLOOKUP(C59,Codes!$J$8:$O$117,6,FALSE),""))</f>
        <v/>
      </c>
      <c r="L59" s="10"/>
      <c r="M59" s="14" t="str">
        <f>IF(C59="","",LOWER(Codes!$B$4&amp;"-"&amp;G59&amp;IF(H59="","","-"&amp;H59)&amp;"-"&amp;C59&amp;"-"&amp;I59&amp;IF(J59="","","-"&amp;J59)&amp;"-"&amp;IF(L59="","01",TEXT(L59,"00"))))</f>
        <v/>
      </c>
      <c r="N59" s="15" t="str">
        <f>IF(C59="","",IF(ISNA(MATCH(C59,Codes!$J$8:$J$117,0)),"Unknown type code",IF(OR(G59="",I59=""),"Env and app required",IF(AND(VLOOKUP(C59,Codes!$J$8:$O$117,4,FALSE)="Global",H59&lt;&gt;""),"Global type: leave region blank",IF(AND(VLOOKUP(C59,Codes!$J$8:$O$117,4,FALSE)&lt;&gt;"Global",H59=""),"Region required",IF(AND(VLOOKUP(C59,Codes!$J$8:$O$117,5,FALSE)="Required",J59=""),"Qualifier required",IF(AND(VLOOKUP(C59,Codes!$J$8:$O$117,5,FALSE)="None",J59&lt;&gt;""),"This type takes no qualifier",IF(AND(J59&lt;&gt;"",VLOOKUP(C59,Codes!$J$8:$O$117,6,FALSE)&lt;&gt;"-",ISERROR(SEARCH(", "&amp;J59&amp;",",", "&amp;VLOOKUP(C59,Codes!$J$8:$O$117,6,FALSE)&amp;","))),"Qualifier not in allowed list",IF(COUNTIF($M$5:$M$304,M59)&gt;1,"Duplicate name","OK")))))))))</f>
        <v/>
      </c>
      <c r="O59" s="10"/>
      <c r="P59" s="10"/>
      <c r="Q59" s="10"/>
    </row>
    <row r="60" spans="1:17" x14ac:dyDescent="0.25">
      <c r="A60" s="10"/>
      <c r="B60" s="10"/>
      <c r="C60" s="10"/>
      <c r="D60" s="15" t="str">
        <f>IF(C60="","",IFERROR(VLOOKUP(C60,Codes!$J$8:$O$117,2,FALSE),"Unknown type"))</f>
        <v/>
      </c>
      <c r="E60" s="10"/>
      <c r="F60" s="10"/>
      <c r="G60" s="10"/>
      <c r="H60" s="10"/>
      <c r="I60" s="10"/>
      <c r="J60" s="10"/>
      <c r="K60" s="16" t="str">
        <f>IF(C60="","",IFERROR(VLOOKUP(C60,Codes!$J$8:$O$117,6,FALSE),""))</f>
        <v/>
      </c>
      <c r="L60" s="10"/>
      <c r="M60" s="14" t="str">
        <f>IF(C60="","",LOWER(Codes!$B$4&amp;"-"&amp;G60&amp;IF(H60="","","-"&amp;H60)&amp;"-"&amp;C60&amp;"-"&amp;I60&amp;IF(J60="","","-"&amp;J60)&amp;"-"&amp;IF(L60="","01",TEXT(L60,"00"))))</f>
        <v/>
      </c>
      <c r="N60" s="15" t="str">
        <f>IF(C60="","",IF(ISNA(MATCH(C60,Codes!$J$8:$J$117,0)),"Unknown type code",IF(OR(G60="",I60=""),"Env and app required",IF(AND(VLOOKUP(C60,Codes!$J$8:$O$117,4,FALSE)="Global",H60&lt;&gt;""),"Global type: leave region blank",IF(AND(VLOOKUP(C60,Codes!$J$8:$O$117,4,FALSE)&lt;&gt;"Global",H60=""),"Region required",IF(AND(VLOOKUP(C60,Codes!$J$8:$O$117,5,FALSE)="Required",J60=""),"Qualifier required",IF(AND(VLOOKUP(C60,Codes!$J$8:$O$117,5,FALSE)="None",J60&lt;&gt;""),"This type takes no qualifier",IF(AND(J60&lt;&gt;"",VLOOKUP(C60,Codes!$J$8:$O$117,6,FALSE)&lt;&gt;"-",ISERROR(SEARCH(", "&amp;J60&amp;",",", "&amp;VLOOKUP(C60,Codes!$J$8:$O$117,6,FALSE)&amp;","))),"Qualifier not in allowed list",IF(COUNTIF($M$5:$M$304,M60)&gt;1,"Duplicate name","OK")))))))))</f>
        <v/>
      </c>
      <c r="O60" s="10"/>
      <c r="P60" s="10"/>
      <c r="Q60" s="10"/>
    </row>
    <row r="61" spans="1:17" x14ac:dyDescent="0.25">
      <c r="A61" s="10"/>
      <c r="B61" s="10"/>
      <c r="C61" s="10"/>
      <c r="D61" s="15" t="str">
        <f>IF(C61="","",IFERROR(VLOOKUP(C61,Codes!$J$8:$O$117,2,FALSE),"Unknown type"))</f>
        <v/>
      </c>
      <c r="E61" s="10"/>
      <c r="F61" s="10"/>
      <c r="G61" s="10"/>
      <c r="H61" s="10"/>
      <c r="I61" s="10"/>
      <c r="J61" s="10"/>
      <c r="K61" s="16" t="str">
        <f>IF(C61="","",IFERROR(VLOOKUP(C61,Codes!$J$8:$O$117,6,FALSE),""))</f>
        <v/>
      </c>
      <c r="L61" s="10"/>
      <c r="M61" s="14" t="str">
        <f>IF(C61="","",LOWER(Codes!$B$4&amp;"-"&amp;G61&amp;IF(H61="","","-"&amp;H61)&amp;"-"&amp;C61&amp;"-"&amp;I61&amp;IF(J61="","","-"&amp;J61)&amp;"-"&amp;IF(L61="","01",TEXT(L61,"00"))))</f>
        <v/>
      </c>
      <c r="N61" s="15" t="str">
        <f>IF(C61="","",IF(ISNA(MATCH(C61,Codes!$J$8:$J$117,0)),"Unknown type code",IF(OR(G61="",I61=""),"Env and app required",IF(AND(VLOOKUP(C61,Codes!$J$8:$O$117,4,FALSE)="Global",H61&lt;&gt;""),"Global type: leave region blank",IF(AND(VLOOKUP(C61,Codes!$J$8:$O$117,4,FALSE)&lt;&gt;"Global",H61=""),"Region required",IF(AND(VLOOKUP(C61,Codes!$J$8:$O$117,5,FALSE)="Required",J61=""),"Qualifier required",IF(AND(VLOOKUP(C61,Codes!$J$8:$O$117,5,FALSE)="None",J61&lt;&gt;""),"This type takes no qualifier",IF(AND(J61&lt;&gt;"",VLOOKUP(C61,Codes!$J$8:$O$117,6,FALSE)&lt;&gt;"-",ISERROR(SEARCH(", "&amp;J61&amp;",",", "&amp;VLOOKUP(C61,Codes!$J$8:$O$117,6,FALSE)&amp;","))),"Qualifier not in allowed list",IF(COUNTIF($M$5:$M$304,M61)&gt;1,"Duplicate name","OK")))))))))</f>
        <v/>
      </c>
      <c r="O61" s="10"/>
      <c r="P61" s="10"/>
      <c r="Q61" s="10"/>
    </row>
    <row r="62" spans="1:17" x14ac:dyDescent="0.25">
      <c r="A62" s="10"/>
      <c r="B62" s="10"/>
      <c r="C62" s="10"/>
      <c r="D62" s="15" t="str">
        <f>IF(C62="","",IFERROR(VLOOKUP(C62,Codes!$J$8:$O$117,2,FALSE),"Unknown type"))</f>
        <v/>
      </c>
      <c r="E62" s="10"/>
      <c r="F62" s="10"/>
      <c r="G62" s="10"/>
      <c r="H62" s="10"/>
      <c r="I62" s="10"/>
      <c r="J62" s="10"/>
      <c r="K62" s="16" t="str">
        <f>IF(C62="","",IFERROR(VLOOKUP(C62,Codes!$J$8:$O$117,6,FALSE),""))</f>
        <v/>
      </c>
      <c r="L62" s="10"/>
      <c r="M62" s="14" t="str">
        <f>IF(C62="","",LOWER(Codes!$B$4&amp;"-"&amp;G62&amp;IF(H62="","","-"&amp;H62)&amp;"-"&amp;C62&amp;"-"&amp;I62&amp;IF(J62="","","-"&amp;J62)&amp;"-"&amp;IF(L62="","01",TEXT(L62,"00"))))</f>
        <v/>
      </c>
      <c r="N62" s="15" t="str">
        <f>IF(C62="","",IF(ISNA(MATCH(C62,Codes!$J$8:$J$117,0)),"Unknown type code",IF(OR(G62="",I62=""),"Env and app required",IF(AND(VLOOKUP(C62,Codes!$J$8:$O$117,4,FALSE)="Global",H62&lt;&gt;""),"Global type: leave region blank",IF(AND(VLOOKUP(C62,Codes!$J$8:$O$117,4,FALSE)&lt;&gt;"Global",H62=""),"Region required",IF(AND(VLOOKUP(C62,Codes!$J$8:$O$117,5,FALSE)="Required",J62=""),"Qualifier required",IF(AND(VLOOKUP(C62,Codes!$J$8:$O$117,5,FALSE)="None",J62&lt;&gt;""),"This type takes no qualifier",IF(AND(J62&lt;&gt;"",VLOOKUP(C62,Codes!$J$8:$O$117,6,FALSE)&lt;&gt;"-",ISERROR(SEARCH(", "&amp;J62&amp;",",", "&amp;VLOOKUP(C62,Codes!$J$8:$O$117,6,FALSE)&amp;","))),"Qualifier not in allowed list",IF(COUNTIF($M$5:$M$304,M62)&gt;1,"Duplicate name","OK")))))))))</f>
        <v/>
      </c>
      <c r="O62" s="10"/>
      <c r="P62" s="10"/>
      <c r="Q62" s="10"/>
    </row>
    <row r="63" spans="1:17" x14ac:dyDescent="0.25">
      <c r="A63" s="10"/>
      <c r="B63" s="10"/>
      <c r="C63" s="10"/>
      <c r="D63" s="15" t="str">
        <f>IF(C63="","",IFERROR(VLOOKUP(C63,Codes!$J$8:$O$117,2,FALSE),"Unknown type"))</f>
        <v/>
      </c>
      <c r="E63" s="10"/>
      <c r="F63" s="10"/>
      <c r="G63" s="10"/>
      <c r="H63" s="10"/>
      <c r="I63" s="10"/>
      <c r="J63" s="10"/>
      <c r="K63" s="16" t="str">
        <f>IF(C63="","",IFERROR(VLOOKUP(C63,Codes!$J$8:$O$117,6,FALSE),""))</f>
        <v/>
      </c>
      <c r="L63" s="10"/>
      <c r="M63" s="14" t="str">
        <f>IF(C63="","",LOWER(Codes!$B$4&amp;"-"&amp;G63&amp;IF(H63="","","-"&amp;H63)&amp;"-"&amp;C63&amp;"-"&amp;I63&amp;IF(J63="","","-"&amp;J63)&amp;"-"&amp;IF(L63="","01",TEXT(L63,"00"))))</f>
        <v/>
      </c>
      <c r="N63" s="15" t="str">
        <f>IF(C63="","",IF(ISNA(MATCH(C63,Codes!$J$8:$J$117,0)),"Unknown type code",IF(OR(G63="",I63=""),"Env and app required",IF(AND(VLOOKUP(C63,Codes!$J$8:$O$117,4,FALSE)="Global",H63&lt;&gt;""),"Global type: leave region blank",IF(AND(VLOOKUP(C63,Codes!$J$8:$O$117,4,FALSE)&lt;&gt;"Global",H63=""),"Region required",IF(AND(VLOOKUP(C63,Codes!$J$8:$O$117,5,FALSE)="Required",J63=""),"Qualifier required",IF(AND(VLOOKUP(C63,Codes!$J$8:$O$117,5,FALSE)="None",J63&lt;&gt;""),"This type takes no qualifier",IF(AND(J63&lt;&gt;"",VLOOKUP(C63,Codes!$J$8:$O$117,6,FALSE)&lt;&gt;"-",ISERROR(SEARCH(", "&amp;J63&amp;",",", "&amp;VLOOKUP(C63,Codes!$J$8:$O$117,6,FALSE)&amp;","))),"Qualifier not in allowed list",IF(COUNTIF($M$5:$M$304,M63)&gt;1,"Duplicate name","OK")))))))))</f>
        <v/>
      </c>
      <c r="O63" s="10"/>
      <c r="P63" s="10"/>
      <c r="Q63" s="10"/>
    </row>
    <row r="64" spans="1:17" x14ac:dyDescent="0.25">
      <c r="A64" s="10"/>
      <c r="B64" s="10"/>
      <c r="C64" s="10"/>
      <c r="D64" s="15" t="str">
        <f>IF(C64="","",IFERROR(VLOOKUP(C64,Codes!$J$8:$O$117,2,FALSE),"Unknown type"))</f>
        <v/>
      </c>
      <c r="E64" s="10"/>
      <c r="F64" s="10"/>
      <c r="G64" s="10"/>
      <c r="H64" s="10"/>
      <c r="I64" s="10"/>
      <c r="J64" s="10"/>
      <c r="K64" s="16" t="str">
        <f>IF(C64="","",IFERROR(VLOOKUP(C64,Codes!$J$8:$O$117,6,FALSE),""))</f>
        <v/>
      </c>
      <c r="L64" s="10"/>
      <c r="M64" s="14" t="str">
        <f>IF(C64="","",LOWER(Codes!$B$4&amp;"-"&amp;G64&amp;IF(H64="","","-"&amp;H64)&amp;"-"&amp;C64&amp;"-"&amp;I64&amp;IF(J64="","","-"&amp;J64)&amp;"-"&amp;IF(L64="","01",TEXT(L64,"00"))))</f>
        <v/>
      </c>
      <c r="N64" s="15" t="str">
        <f>IF(C64="","",IF(ISNA(MATCH(C64,Codes!$J$8:$J$117,0)),"Unknown type code",IF(OR(G64="",I64=""),"Env and app required",IF(AND(VLOOKUP(C64,Codes!$J$8:$O$117,4,FALSE)="Global",H64&lt;&gt;""),"Global type: leave region blank",IF(AND(VLOOKUP(C64,Codes!$J$8:$O$117,4,FALSE)&lt;&gt;"Global",H64=""),"Region required",IF(AND(VLOOKUP(C64,Codes!$J$8:$O$117,5,FALSE)="Required",J64=""),"Qualifier required",IF(AND(VLOOKUP(C64,Codes!$J$8:$O$117,5,FALSE)="None",J64&lt;&gt;""),"This type takes no qualifier",IF(AND(J64&lt;&gt;"",VLOOKUP(C64,Codes!$J$8:$O$117,6,FALSE)&lt;&gt;"-",ISERROR(SEARCH(", "&amp;J64&amp;",",", "&amp;VLOOKUP(C64,Codes!$J$8:$O$117,6,FALSE)&amp;","))),"Qualifier not in allowed list",IF(COUNTIF($M$5:$M$304,M64)&gt;1,"Duplicate name","OK")))))))))</f>
        <v/>
      </c>
      <c r="O64" s="10"/>
      <c r="P64" s="10"/>
      <c r="Q64" s="10"/>
    </row>
    <row r="65" spans="1:17" x14ac:dyDescent="0.25">
      <c r="A65" s="10"/>
      <c r="B65" s="10"/>
      <c r="C65" s="10"/>
      <c r="D65" s="15" t="str">
        <f>IF(C65="","",IFERROR(VLOOKUP(C65,Codes!$J$8:$O$117,2,FALSE),"Unknown type"))</f>
        <v/>
      </c>
      <c r="E65" s="10"/>
      <c r="F65" s="10"/>
      <c r="G65" s="10"/>
      <c r="H65" s="10"/>
      <c r="I65" s="10"/>
      <c r="J65" s="10"/>
      <c r="K65" s="16" t="str">
        <f>IF(C65="","",IFERROR(VLOOKUP(C65,Codes!$J$8:$O$117,6,FALSE),""))</f>
        <v/>
      </c>
      <c r="L65" s="10"/>
      <c r="M65" s="14" t="str">
        <f>IF(C65="","",LOWER(Codes!$B$4&amp;"-"&amp;G65&amp;IF(H65="","","-"&amp;H65)&amp;"-"&amp;C65&amp;"-"&amp;I65&amp;IF(J65="","","-"&amp;J65)&amp;"-"&amp;IF(L65="","01",TEXT(L65,"00"))))</f>
        <v/>
      </c>
      <c r="N65" s="15" t="str">
        <f>IF(C65="","",IF(ISNA(MATCH(C65,Codes!$J$8:$J$117,0)),"Unknown type code",IF(OR(G65="",I65=""),"Env and app required",IF(AND(VLOOKUP(C65,Codes!$J$8:$O$117,4,FALSE)="Global",H65&lt;&gt;""),"Global type: leave region blank",IF(AND(VLOOKUP(C65,Codes!$J$8:$O$117,4,FALSE)&lt;&gt;"Global",H65=""),"Region required",IF(AND(VLOOKUP(C65,Codes!$J$8:$O$117,5,FALSE)="Required",J65=""),"Qualifier required",IF(AND(VLOOKUP(C65,Codes!$J$8:$O$117,5,FALSE)="None",J65&lt;&gt;""),"This type takes no qualifier",IF(AND(J65&lt;&gt;"",VLOOKUP(C65,Codes!$J$8:$O$117,6,FALSE)&lt;&gt;"-",ISERROR(SEARCH(", "&amp;J65&amp;",",", "&amp;VLOOKUP(C65,Codes!$J$8:$O$117,6,FALSE)&amp;","))),"Qualifier not in allowed list",IF(COUNTIF($M$5:$M$304,M65)&gt;1,"Duplicate name","OK")))))))))</f>
        <v/>
      </c>
      <c r="O65" s="10"/>
      <c r="P65" s="10"/>
      <c r="Q65" s="10"/>
    </row>
    <row r="66" spans="1:17" x14ac:dyDescent="0.25">
      <c r="A66" s="10"/>
      <c r="B66" s="10"/>
      <c r="C66" s="10"/>
      <c r="D66" s="15" t="str">
        <f>IF(C66="","",IFERROR(VLOOKUP(C66,Codes!$J$8:$O$117,2,FALSE),"Unknown type"))</f>
        <v/>
      </c>
      <c r="E66" s="10"/>
      <c r="F66" s="10"/>
      <c r="G66" s="10"/>
      <c r="H66" s="10"/>
      <c r="I66" s="10"/>
      <c r="J66" s="10"/>
      <c r="K66" s="16" t="str">
        <f>IF(C66="","",IFERROR(VLOOKUP(C66,Codes!$J$8:$O$117,6,FALSE),""))</f>
        <v/>
      </c>
      <c r="L66" s="10"/>
      <c r="M66" s="14" t="str">
        <f>IF(C66="","",LOWER(Codes!$B$4&amp;"-"&amp;G66&amp;IF(H66="","","-"&amp;H66)&amp;"-"&amp;C66&amp;"-"&amp;I66&amp;IF(J66="","","-"&amp;J66)&amp;"-"&amp;IF(L66="","01",TEXT(L66,"00"))))</f>
        <v/>
      </c>
      <c r="N66" s="15" t="str">
        <f>IF(C66="","",IF(ISNA(MATCH(C66,Codes!$J$8:$J$117,0)),"Unknown type code",IF(OR(G66="",I66=""),"Env and app required",IF(AND(VLOOKUP(C66,Codes!$J$8:$O$117,4,FALSE)="Global",H66&lt;&gt;""),"Global type: leave region blank",IF(AND(VLOOKUP(C66,Codes!$J$8:$O$117,4,FALSE)&lt;&gt;"Global",H66=""),"Region required",IF(AND(VLOOKUP(C66,Codes!$J$8:$O$117,5,FALSE)="Required",J66=""),"Qualifier required",IF(AND(VLOOKUP(C66,Codes!$J$8:$O$117,5,FALSE)="None",J66&lt;&gt;""),"This type takes no qualifier",IF(AND(J66&lt;&gt;"",VLOOKUP(C66,Codes!$J$8:$O$117,6,FALSE)&lt;&gt;"-",ISERROR(SEARCH(", "&amp;J66&amp;",",", "&amp;VLOOKUP(C66,Codes!$J$8:$O$117,6,FALSE)&amp;","))),"Qualifier not in allowed list",IF(COUNTIF($M$5:$M$304,M66)&gt;1,"Duplicate name","OK")))))))))</f>
        <v/>
      </c>
      <c r="O66" s="10"/>
      <c r="P66" s="10"/>
      <c r="Q66" s="10"/>
    </row>
    <row r="67" spans="1:17" x14ac:dyDescent="0.25">
      <c r="A67" s="10"/>
      <c r="B67" s="10"/>
      <c r="C67" s="10"/>
      <c r="D67" s="15" t="str">
        <f>IF(C67="","",IFERROR(VLOOKUP(C67,Codes!$J$8:$O$117,2,FALSE),"Unknown type"))</f>
        <v/>
      </c>
      <c r="E67" s="10"/>
      <c r="F67" s="10"/>
      <c r="G67" s="10"/>
      <c r="H67" s="10"/>
      <c r="I67" s="10"/>
      <c r="J67" s="10"/>
      <c r="K67" s="16" t="str">
        <f>IF(C67="","",IFERROR(VLOOKUP(C67,Codes!$J$8:$O$117,6,FALSE),""))</f>
        <v/>
      </c>
      <c r="L67" s="10"/>
      <c r="M67" s="14" t="str">
        <f>IF(C67="","",LOWER(Codes!$B$4&amp;"-"&amp;G67&amp;IF(H67="","","-"&amp;H67)&amp;"-"&amp;C67&amp;"-"&amp;I67&amp;IF(J67="","","-"&amp;J67)&amp;"-"&amp;IF(L67="","01",TEXT(L67,"00"))))</f>
        <v/>
      </c>
      <c r="N67" s="15" t="str">
        <f>IF(C67="","",IF(ISNA(MATCH(C67,Codes!$J$8:$J$117,0)),"Unknown type code",IF(OR(G67="",I67=""),"Env and app required",IF(AND(VLOOKUP(C67,Codes!$J$8:$O$117,4,FALSE)="Global",H67&lt;&gt;""),"Global type: leave region blank",IF(AND(VLOOKUP(C67,Codes!$J$8:$O$117,4,FALSE)&lt;&gt;"Global",H67=""),"Region required",IF(AND(VLOOKUP(C67,Codes!$J$8:$O$117,5,FALSE)="Required",J67=""),"Qualifier required",IF(AND(VLOOKUP(C67,Codes!$J$8:$O$117,5,FALSE)="None",J67&lt;&gt;""),"This type takes no qualifier",IF(AND(J67&lt;&gt;"",VLOOKUP(C67,Codes!$J$8:$O$117,6,FALSE)&lt;&gt;"-",ISERROR(SEARCH(", "&amp;J67&amp;",",", "&amp;VLOOKUP(C67,Codes!$J$8:$O$117,6,FALSE)&amp;","))),"Qualifier not in allowed list",IF(COUNTIF($M$5:$M$304,M67)&gt;1,"Duplicate name","OK")))))))))</f>
        <v/>
      </c>
      <c r="O67" s="10"/>
      <c r="P67" s="10"/>
      <c r="Q67" s="10"/>
    </row>
    <row r="68" spans="1:17" x14ac:dyDescent="0.25">
      <c r="A68" s="10"/>
      <c r="B68" s="10"/>
      <c r="C68" s="10"/>
      <c r="D68" s="15" t="str">
        <f>IF(C68="","",IFERROR(VLOOKUP(C68,Codes!$J$8:$O$117,2,FALSE),"Unknown type"))</f>
        <v/>
      </c>
      <c r="E68" s="10"/>
      <c r="F68" s="10"/>
      <c r="G68" s="10"/>
      <c r="H68" s="10"/>
      <c r="I68" s="10"/>
      <c r="J68" s="10"/>
      <c r="K68" s="16" t="str">
        <f>IF(C68="","",IFERROR(VLOOKUP(C68,Codes!$J$8:$O$117,6,FALSE),""))</f>
        <v/>
      </c>
      <c r="L68" s="10"/>
      <c r="M68" s="14" t="str">
        <f>IF(C68="","",LOWER(Codes!$B$4&amp;"-"&amp;G68&amp;IF(H68="","","-"&amp;H68)&amp;"-"&amp;C68&amp;"-"&amp;I68&amp;IF(J68="","","-"&amp;J68)&amp;"-"&amp;IF(L68="","01",TEXT(L68,"00"))))</f>
        <v/>
      </c>
      <c r="N68" s="15" t="str">
        <f>IF(C68="","",IF(ISNA(MATCH(C68,Codes!$J$8:$J$117,0)),"Unknown type code",IF(OR(G68="",I68=""),"Env and app required",IF(AND(VLOOKUP(C68,Codes!$J$8:$O$117,4,FALSE)="Global",H68&lt;&gt;""),"Global type: leave region blank",IF(AND(VLOOKUP(C68,Codes!$J$8:$O$117,4,FALSE)&lt;&gt;"Global",H68=""),"Region required",IF(AND(VLOOKUP(C68,Codes!$J$8:$O$117,5,FALSE)="Required",J68=""),"Qualifier required",IF(AND(VLOOKUP(C68,Codes!$J$8:$O$117,5,FALSE)="None",J68&lt;&gt;""),"This type takes no qualifier",IF(AND(J68&lt;&gt;"",VLOOKUP(C68,Codes!$J$8:$O$117,6,FALSE)&lt;&gt;"-",ISERROR(SEARCH(", "&amp;J68&amp;",",", "&amp;VLOOKUP(C68,Codes!$J$8:$O$117,6,FALSE)&amp;","))),"Qualifier not in allowed list",IF(COUNTIF($M$5:$M$304,M68)&gt;1,"Duplicate name","OK")))))))))</f>
        <v/>
      </c>
      <c r="O68" s="10"/>
      <c r="P68" s="10"/>
      <c r="Q68" s="10"/>
    </row>
    <row r="69" spans="1:17" x14ac:dyDescent="0.25">
      <c r="A69" s="10"/>
      <c r="B69" s="10"/>
      <c r="C69" s="10"/>
      <c r="D69" s="15" t="str">
        <f>IF(C69="","",IFERROR(VLOOKUP(C69,Codes!$J$8:$O$117,2,FALSE),"Unknown type"))</f>
        <v/>
      </c>
      <c r="E69" s="10"/>
      <c r="F69" s="10"/>
      <c r="G69" s="10"/>
      <c r="H69" s="10"/>
      <c r="I69" s="10"/>
      <c r="J69" s="10"/>
      <c r="K69" s="16" t="str">
        <f>IF(C69="","",IFERROR(VLOOKUP(C69,Codes!$J$8:$O$117,6,FALSE),""))</f>
        <v/>
      </c>
      <c r="L69" s="10"/>
      <c r="M69" s="14" t="str">
        <f>IF(C69="","",LOWER(Codes!$B$4&amp;"-"&amp;G69&amp;IF(H69="","","-"&amp;H69)&amp;"-"&amp;C69&amp;"-"&amp;I69&amp;IF(J69="","","-"&amp;J69)&amp;"-"&amp;IF(L69="","01",TEXT(L69,"00"))))</f>
        <v/>
      </c>
      <c r="N69" s="15" t="str">
        <f>IF(C69="","",IF(ISNA(MATCH(C69,Codes!$J$8:$J$117,0)),"Unknown type code",IF(OR(G69="",I69=""),"Env and app required",IF(AND(VLOOKUP(C69,Codes!$J$8:$O$117,4,FALSE)="Global",H69&lt;&gt;""),"Global type: leave region blank",IF(AND(VLOOKUP(C69,Codes!$J$8:$O$117,4,FALSE)&lt;&gt;"Global",H69=""),"Region required",IF(AND(VLOOKUP(C69,Codes!$J$8:$O$117,5,FALSE)="Required",J69=""),"Qualifier required",IF(AND(VLOOKUP(C69,Codes!$J$8:$O$117,5,FALSE)="None",J69&lt;&gt;""),"This type takes no qualifier",IF(AND(J69&lt;&gt;"",VLOOKUP(C69,Codes!$J$8:$O$117,6,FALSE)&lt;&gt;"-",ISERROR(SEARCH(", "&amp;J69&amp;",",", "&amp;VLOOKUP(C69,Codes!$J$8:$O$117,6,FALSE)&amp;","))),"Qualifier not in allowed list",IF(COUNTIF($M$5:$M$304,M69)&gt;1,"Duplicate name","OK")))))))))</f>
        <v/>
      </c>
      <c r="O69" s="10"/>
      <c r="P69" s="10"/>
      <c r="Q69" s="10"/>
    </row>
    <row r="70" spans="1:17" x14ac:dyDescent="0.25">
      <c r="A70" s="10"/>
      <c r="B70" s="10"/>
      <c r="C70" s="10"/>
      <c r="D70" s="15" t="str">
        <f>IF(C70="","",IFERROR(VLOOKUP(C70,Codes!$J$8:$O$117,2,FALSE),"Unknown type"))</f>
        <v/>
      </c>
      <c r="E70" s="10"/>
      <c r="F70" s="10"/>
      <c r="G70" s="10"/>
      <c r="H70" s="10"/>
      <c r="I70" s="10"/>
      <c r="J70" s="10"/>
      <c r="K70" s="16" t="str">
        <f>IF(C70="","",IFERROR(VLOOKUP(C70,Codes!$J$8:$O$117,6,FALSE),""))</f>
        <v/>
      </c>
      <c r="L70" s="10"/>
      <c r="M70" s="14" t="str">
        <f>IF(C70="","",LOWER(Codes!$B$4&amp;"-"&amp;G70&amp;IF(H70="","","-"&amp;H70)&amp;"-"&amp;C70&amp;"-"&amp;I70&amp;IF(J70="","","-"&amp;J70)&amp;"-"&amp;IF(L70="","01",TEXT(L70,"00"))))</f>
        <v/>
      </c>
      <c r="N70" s="15" t="str">
        <f>IF(C70="","",IF(ISNA(MATCH(C70,Codes!$J$8:$J$117,0)),"Unknown type code",IF(OR(G70="",I70=""),"Env and app required",IF(AND(VLOOKUP(C70,Codes!$J$8:$O$117,4,FALSE)="Global",H70&lt;&gt;""),"Global type: leave region blank",IF(AND(VLOOKUP(C70,Codes!$J$8:$O$117,4,FALSE)&lt;&gt;"Global",H70=""),"Region required",IF(AND(VLOOKUP(C70,Codes!$J$8:$O$117,5,FALSE)="Required",J70=""),"Qualifier required",IF(AND(VLOOKUP(C70,Codes!$J$8:$O$117,5,FALSE)="None",J70&lt;&gt;""),"This type takes no qualifier",IF(AND(J70&lt;&gt;"",VLOOKUP(C70,Codes!$J$8:$O$117,6,FALSE)&lt;&gt;"-",ISERROR(SEARCH(", "&amp;J70&amp;",",", "&amp;VLOOKUP(C70,Codes!$J$8:$O$117,6,FALSE)&amp;","))),"Qualifier not in allowed list",IF(COUNTIF($M$5:$M$304,M70)&gt;1,"Duplicate name","OK")))))))))</f>
        <v/>
      </c>
      <c r="O70" s="10"/>
      <c r="P70" s="10"/>
      <c r="Q70" s="10"/>
    </row>
    <row r="71" spans="1:17" x14ac:dyDescent="0.25">
      <c r="A71" s="10"/>
      <c r="B71" s="10"/>
      <c r="C71" s="10"/>
      <c r="D71" s="15" t="str">
        <f>IF(C71="","",IFERROR(VLOOKUP(C71,Codes!$J$8:$O$117,2,FALSE),"Unknown type"))</f>
        <v/>
      </c>
      <c r="E71" s="10"/>
      <c r="F71" s="10"/>
      <c r="G71" s="10"/>
      <c r="H71" s="10"/>
      <c r="I71" s="10"/>
      <c r="J71" s="10"/>
      <c r="K71" s="16" t="str">
        <f>IF(C71="","",IFERROR(VLOOKUP(C71,Codes!$J$8:$O$117,6,FALSE),""))</f>
        <v/>
      </c>
      <c r="L71" s="10"/>
      <c r="M71" s="14" t="str">
        <f>IF(C71="","",LOWER(Codes!$B$4&amp;"-"&amp;G71&amp;IF(H71="","","-"&amp;H71)&amp;"-"&amp;C71&amp;"-"&amp;I71&amp;IF(J71="","","-"&amp;J71)&amp;"-"&amp;IF(L71="","01",TEXT(L71,"00"))))</f>
        <v/>
      </c>
      <c r="N71" s="15" t="str">
        <f>IF(C71="","",IF(ISNA(MATCH(C71,Codes!$J$8:$J$117,0)),"Unknown type code",IF(OR(G71="",I71=""),"Env and app required",IF(AND(VLOOKUP(C71,Codes!$J$8:$O$117,4,FALSE)="Global",H71&lt;&gt;""),"Global type: leave region blank",IF(AND(VLOOKUP(C71,Codes!$J$8:$O$117,4,FALSE)&lt;&gt;"Global",H71=""),"Region required",IF(AND(VLOOKUP(C71,Codes!$J$8:$O$117,5,FALSE)="Required",J71=""),"Qualifier required",IF(AND(VLOOKUP(C71,Codes!$J$8:$O$117,5,FALSE)="None",J71&lt;&gt;""),"This type takes no qualifier",IF(AND(J71&lt;&gt;"",VLOOKUP(C71,Codes!$J$8:$O$117,6,FALSE)&lt;&gt;"-",ISERROR(SEARCH(", "&amp;J71&amp;",",", "&amp;VLOOKUP(C71,Codes!$J$8:$O$117,6,FALSE)&amp;","))),"Qualifier not in allowed list",IF(COUNTIF($M$5:$M$304,M71)&gt;1,"Duplicate name","OK")))))))))</f>
        <v/>
      </c>
      <c r="O71" s="10"/>
      <c r="P71" s="10"/>
      <c r="Q71" s="10"/>
    </row>
    <row r="72" spans="1:17" x14ac:dyDescent="0.25">
      <c r="A72" s="10"/>
      <c r="B72" s="10"/>
      <c r="C72" s="10"/>
      <c r="D72" s="15" t="str">
        <f>IF(C72="","",IFERROR(VLOOKUP(C72,Codes!$J$8:$O$117,2,FALSE),"Unknown type"))</f>
        <v/>
      </c>
      <c r="E72" s="10"/>
      <c r="F72" s="10"/>
      <c r="G72" s="10"/>
      <c r="H72" s="10"/>
      <c r="I72" s="10"/>
      <c r="J72" s="10"/>
      <c r="K72" s="16" t="str">
        <f>IF(C72="","",IFERROR(VLOOKUP(C72,Codes!$J$8:$O$117,6,FALSE),""))</f>
        <v/>
      </c>
      <c r="L72" s="10"/>
      <c r="M72" s="14" t="str">
        <f>IF(C72="","",LOWER(Codes!$B$4&amp;"-"&amp;G72&amp;IF(H72="","","-"&amp;H72)&amp;"-"&amp;C72&amp;"-"&amp;I72&amp;IF(J72="","","-"&amp;J72)&amp;"-"&amp;IF(L72="","01",TEXT(L72,"00"))))</f>
        <v/>
      </c>
      <c r="N72" s="15" t="str">
        <f>IF(C72="","",IF(ISNA(MATCH(C72,Codes!$J$8:$J$117,0)),"Unknown type code",IF(OR(G72="",I72=""),"Env and app required",IF(AND(VLOOKUP(C72,Codes!$J$8:$O$117,4,FALSE)="Global",H72&lt;&gt;""),"Global type: leave region blank",IF(AND(VLOOKUP(C72,Codes!$J$8:$O$117,4,FALSE)&lt;&gt;"Global",H72=""),"Region required",IF(AND(VLOOKUP(C72,Codes!$J$8:$O$117,5,FALSE)="Required",J72=""),"Qualifier required",IF(AND(VLOOKUP(C72,Codes!$J$8:$O$117,5,FALSE)="None",J72&lt;&gt;""),"This type takes no qualifier",IF(AND(J72&lt;&gt;"",VLOOKUP(C72,Codes!$J$8:$O$117,6,FALSE)&lt;&gt;"-",ISERROR(SEARCH(", "&amp;J72&amp;",",", "&amp;VLOOKUP(C72,Codes!$J$8:$O$117,6,FALSE)&amp;","))),"Qualifier not in allowed list",IF(COUNTIF($M$5:$M$304,M72)&gt;1,"Duplicate name","OK")))))))))</f>
        <v/>
      </c>
      <c r="O72" s="10"/>
      <c r="P72" s="10"/>
      <c r="Q72" s="10"/>
    </row>
    <row r="73" spans="1:17" x14ac:dyDescent="0.25">
      <c r="A73" s="10"/>
      <c r="B73" s="10"/>
      <c r="C73" s="10"/>
      <c r="D73" s="15" t="str">
        <f>IF(C73="","",IFERROR(VLOOKUP(C73,Codes!$J$8:$O$117,2,FALSE),"Unknown type"))</f>
        <v/>
      </c>
      <c r="E73" s="10"/>
      <c r="F73" s="10"/>
      <c r="G73" s="10"/>
      <c r="H73" s="10"/>
      <c r="I73" s="10"/>
      <c r="J73" s="10"/>
      <c r="K73" s="16" t="str">
        <f>IF(C73="","",IFERROR(VLOOKUP(C73,Codes!$J$8:$O$117,6,FALSE),""))</f>
        <v/>
      </c>
      <c r="L73" s="10"/>
      <c r="M73" s="14" t="str">
        <f>IF(C73="","",LOWER(Codes!$B$4&amp;"-"&amp;G73&amp;IF(H73="","","-"&amp;H73)&amp;"-"&amp;C73&amp;"-"&amp;I73&amp;IF(J73="","","-"&amp;J73)&amp;"-"&amp;IF(L73="","01",TEXT(L73,"00"))))</f>
        <v/>
      </c>
      <c r="N73" s="15" t="str">
        <f>IF(C73="","",IF(ISNA(MATCH(C73,Codes!$J$8:$J$117,0)),"Unknown type code",IF(OR(G73="",I73=""),"Env and app required",IF(AND(VLOOKUP(C73,Codes!$J$8:$O$117,4,FALSE)="Global",H73&lt;&gt;""),"Global type: leave region blank",IF(AND(VLOOKUP(C73,Codes!$J$8:$O$117,4,FALSE)&lt;&gt;"Global",H73=""),"Region required",IF(AND(VLOOKUP(C73,Codes!$J$8:$O$117,5,FALSE)="Required",J73=""),"Qualifier required",IF(AND(VLOOKUP(C73,Codes!$J$8:$O$117,5,FALSE)="None",J73&lt;&gt;""),"This type takes no qualifier",IF(AND(J73&lt;&gt;"",VLOOKUP(C73,Codes!$J$8:$O$117,6,FALSE)&lt;&gt;"-",ISERROR(SEARCH(", "&amp;J73&amp;",",", "&amp;VLOOKUP(C73,Codes!$J$8:$O$117,6,FALSE)&amp;","))),"Qualifier not in allowed list",IF(COUNTIF($M$5:$M$304,M73)&gt;1,"Duplicate name","OK")))))))))</f>
        <v/>
      </c>
      <c r="O73" s="10"/>
      <c r="P73" s="10"/>
      <c r="Q73" s="10"/>
    </row>
    <row r="74" spans="1:17" x14ac:dyDescent="0.25">
      <c r="A74" s="10"/>
      <c r="B74" s="10"/>
      <c r="C74" s="10"/>
      <c r="D74" s="15" t="str">
        <f>IF(C74="","",IFERROR(VLOOKUP(C74,Codes!$J$8:$O$117,2,FALSE),"Unknown type"))</f>
        <v/>
      </c>
      <c r="E74" s="10"/>
      <c r="F74" s="10"/>
      <c r="G74" s="10"/>
      <c r="H74" s="10"/>
      <c r="I74" s="10"/>
      <c r="J74" s="10"/>
      <c r="K74" s="16" t="str">
        <f>IF(C74="","",IFERROR(VLOOKUP(C74,Codes!$J$8:$O$117,6,FALSE),""))</f>
        <v/>
      </c>
      <c r="L74" s="10"/>
      <c r="M74" s="14" t="str">
        <f>IF(C74="","",LOWER(Codes!$B$4&amp;"-"&amp;G74&amp;IF(H74="","","-"&amp;H74)&amp;"-"&amp;C74&amp;"-"&amp;I74&amp;IF(J74="","","-"&amp;J74)&amp;"-"&amp;IF(L74="","01",TEXT(L74,"00"))))</f>
        <v/>
      </c>
      <c r="N74" s="15" t="str">
        <f>IF(C74="","",IF(ISNA(MATCH(C74,Codes!$J$8:$J$117,0)),"Unknown type code",IF(OR(G74="",I74=""),"Env and app required",IF(AND(VLOOKUP(C74,Codes!$J$8:$O$117,4,FALSE)="Global",H74&lt;&gt;""),"Global type: leave region blank",IF(AND(VLOOKUP(C74,Codes!$J$8:$O$117,4,FALSE)&lt;&gt;"Global",H74=""),"Region required",IF(AND(VLOOKUP(C74,Codes!$J$8:$O$117,5,FALSE)="Required",J74=""),"Qualifier required",IF(AND(VLOOKUP(C74,Codes!$J$8:$O$117,5,FALSE)="None",J74&lt;&gt;""),"This type takes no qualifier",IF(AND(J74&lt;&gt;"",VLOOKUP(C74,Codes!$J$8:$O$117,6,FALSE)&lt;&gt;"-",ISERROR(SEARCH(", "&amp;J74&amp;",",", "&amp;VLOOKUP(C74,Codes!$J$8:$O$117,6,FALSE)&amp;","))),"Qualifier not in allowed list",IF(COUNTIF($M$5:$M$304,M74)&gt;1,"Duplicate name","OK")))))))))</f>
        <v/>
      </c>
      <c r="O74" s="10"/>
      <c r="P74" s="10"/>
      <c r="Q74" s="10"/>
    </row>
    <row r="75" spans="1:17" x14ac:dyDescent="0.25">
      <c r="A75" s="10"/>
      <c r="B75" s="10"/>
      <c r="C75" s="10"/>
      <c r="D75" s="15" t="str">
        <f>IF(C75="","",IFERROR(VLOOKUP(C75,Codes!$J$8:$O$117,2,FALSE),"Unknown type"))</f>
        <v/>
      </c>
      <c r="E75" s="10"/>
      <c r="F75" s="10"/>
      <c r="G75" s="10"/>
      <c r="H75" s="10"/>
      <c r="I75" s="10"/>
      <c r="J75" s="10"/>
      <c r="K75" s="16" t="str">
        <f>IF(C75="","",IFERROR(VLOOKUP(C75,Codes!$J$8:$O$117,6,FALSE),""))</f>
        <v/>
      </c>
      <c r="L75" s="10"/>
      <c r="M75" s="14" t="str">
        <f>IF(C75="","",LOWER(Codes!$B$4&amp;"-"&amp;G75&amp;IF(H75="","","-"&amp;H75)&amp;"-"&amp;C75&amp;"-"&amp;I75&amp;IF(J75="","","-"&amp;J75)&amp;"-"&amp;IF(L75="","01",TEXT(L75,"00"))))</f>
        <v/>
      </c>
      <c r="N75" s="15" t="str">
        <f>IF(C75="","",IF(ISNA(MATCH(C75,Codes!$J$8:$J$117,0)),"Unknown type code",IF(OR(G75="",I75=""),"Env and app required",IF(AND(VLOOKUP(C75,Codes!$J$8:$O$117,4,FALSE)="Global",H75&lt;&gt;""),"Global type: leave region blank",IF(AND(VLOOKUP(C75,Codes!$J$8:$O$117,4,FALSE)&lt;&gt;"Global",H75=""),"Region required",IF(AND(VLOOKUP(C75,Codes!$J$8:$O$117,5,FALSE)="Required",J75=""),"Qualifier required",IF(AND(VLOOKUP(C75,Codes!$J$8:$O$117,5,FALSE)="None",J75&lt;&gt;""),"This type takes no qualifier",IF(AND(J75&lt;&gt;"",VLOOKUP(C75,Codes!$J$8:$O$117,6,FALSE)&lt;&gt;"-",ISERROR(SEARCH(", "&amp;J75&amp;",",", "&amp;VLOOKUP(C75,Codes!$J$8:$O$117,6,FALSE)&amp;","))),"Qualifier not in allowed list",IF(COUNTIF($M$5:$M$304,M75)&gt;1,"Duplicate name","OK")))))))))</f>
        <v/>
      </c>
      <c r="O75" s="10"/>
      <c r="P75" s="10"/>
      <c r="Q75" s="10"/>
    </row>
    <row r="76" spans="1:17" x14ac:dyDescent="0.25">
      <c r="A76" s="10"/>
      <c r="B76" s="10"/>
      <c r="C76" s="10"/>
      <c r="D76" s="15" t="str">
        <f>IF(C76="","",IFERROR(VLOOKUP(C76,Codes!$J$8:$O$117,2,FALSE),"Unknown type"))</f>
        <v/>
      </c>
      <c r="E76" s="10"/>
      <c r="F76" s="10"/>
      <c r="G76" s="10"/>
      <c r="H76" s="10"/>
      <c r="I76" s="10"/>
      <c r="J76" s="10"/>
      <c r="K76" s="16" t="str">
        <f>IF(C76="","",IFERROR(VLOOKUP(C76,Codes!$J$8:$O$117,6,FALSE),""))</f>
        <v/>
      </c>
      <c r="L76" s="10"/>
      <c r="M76" s="14" t="str">
        <f>IF(C76="","",LOWER(Codes!$B$4&amp;"-"&amp;G76&amp;IF(H76="","","-"&amp;H76)&amp;"-"&amp;C76&amp;"-"&amp;I76&amp;IF(J76="","","-"&amp;J76)&amp;"-"&amp;IF(L76="","01",TEXT(L76,"00"))))</f>
        <v/>
      </c>
      <c r="N76" s="15" t="str">
        <f>IF(C76="","",IF(ISNA(MATCH(C76,Codes!$J$8:$J$117,0)),"Unknown type code",IF(OR(G76="",I76=""),"Env and app required",IF(AND(VLOOKUP(C76,Codes!$J$8:$O$117,4,FALSE)="Global",H76&lt;&gt;""),"Global type: leave region blank",IF(AND(VLOOKUP(C76,Codes!$J$8:$O$117,4,FALSE)&lt;&gt;"Global",H76=""),"Region required",IF(AND(VLOOKUP(C76,Codes!$J$8:$O$117,5,FALSE)="Required",J76=""),"Qualifier required",IF(AND(VLOOKUP(C76,Codes!$J$8:$O$117,5,FALSE)="None",J76&lt;&gt;""),"This type takes no qualifier",IF(AND(J76&lt;&gt;"",VLOOKUP(C76,Codes!$J$8:$O$117,6,FALSE)&lt;&gt;"-",ISERROR(SEARCH(", "&amp;J76&amp;",",", "&amp;VLOOKUP(C76,Codes!$J$8:$O$117,6,FALSE)&amp;","))),"Qualifier not in allowed list",IF(COUNTIF($M$5:$M$304,M76)&gt;1,"Duplicate name","OK")))))))))</f>
        <v/>
      </c>
      <c r="O76" s="10"/>
      <c r="P76" s="10"/>
      <c r="Q76" s="10"/>
    </row>
    <row r="77" spans="1:17" x14ac:dyDescent="0.25">
      <c r="A77" s="10"/>
      <c r="B77" s="10"/>
      <c r="C77" s="10"/>
      <c r="D77" s="15" t="str">
        <f>IF(C77="","",IFERROR(VLOOKUP(C77,Codes!$J$8:$O$117,2,FALSE),"Unknown type"))</f>
        <v/>
      </c>
      <c r="E77" s="10"/>
      <c r="F77" s="10"/>
      <c r="G77" s="10"/>
      <c r="H77" s="10"/>
      <c r="I77" s="10"/>
      <c r="J77" s="10"/>
      <c r="K77" s="16" t="str">
        <f>IF(C77="","",IFERROR(VLOOKUP(C77,Codes!$J$8:$O$117,6,FALSE),""))</f>
        <v/>
      </c>
      <c r="L77" s="10"/>
      <c r="M77" s="14" t="str">
        <f>IF(C77="","",LOWER(Codes!$B$4&amp;"-"&amp;G77&amp;IF(H77="","","-"&amp;H77)&amp;"-"&amp;C77&amp;"-"&amp;I77&amp;IF(J77="","","-"&amp;J77)&amp;"-"&amp;IF(L77="","01",TEXT(L77,"00"))))</f>
        <v/>
      </c>
      <c r="N77" s="15" t="str">
        <f>IF(C77="","",IF(ISNA(MATCH(C77,Codes!$J$8:$J$117,0)),"Unknown type code",IF(OR(G77="",I77=""),"Env and app required",IF(AND(VLOOKUP(C77,Codes!$J$8:$O$117,4,FALSE)="Global",H77&lt;&gt;""),"Global type: leave region blank",IF(AND(VLOOKUP(C77,Codes!$J$8:$O$117,4,FALSE)&lt;&gt;"Global",H77=""),"Region required",IF(AND(VLOOKUP(C77,Codes!$J$8:$O$117,5,FALSE)="Required",J77=""),"Qualifier required",IF(AND(VLOOKUP(C77,Codes!$J$8:$O$117,5,FALSE)="None",J77&lt;&gt;""),"This type takes no qualifier",IF(AND(J77&lt;&gt;"",VLOOKUP(C77,Codes!$J$8:$O$117,6,FALSE)&lt;&gt;"-",ISERROR(SEARCH(", "&amp;J77&amp;",",", "&amp;VLOOKUP(C77,Codes!$J$8:$O$117,6,FALSE)&amp;","))),"Qualifier not in allowed list",IF(COUNTIF($M$5:$M$304,M77)&gt;1,"Duplicate name","OK")))))))))</f>
        <v/>
      </c>
      <c r="O77" s="10"/>
      <c r="P77" s="10"/>
      <c r="Q77" s="10"/>
    </row>
    <row r="78" spans="1:17" x14ac:dyDescent="0.25">
      <c r="A78" s="10"/>
      <c r="B78" s="10"/>
      <c r="C78" s="10"/>
      <c r="D78" s="15" t="str">
        <f>IF(C78="","",IFERROR(VLOOKUP(C78,Codes!$J$8:$O$117,2,FALSE),"Unknown type"))</f>
        <v/>
      </c>
      <c r="E78" s="10"/>
      <c r="F78" s="10"/>
      <c r="G78" s="10"/>
      <c r="H78" s="10"/>
      <c r="I78" s="10"/>
      <c r="J78" s="10"/>
      <c r="K78" s="16" t="str">
        <f>IF(C78="","",IFERROR(VLOOKUP(C78,Codes!$J$8:$O$117,6,FALSE),""))</f>
        <v/>
      </c>
      <c r="L78" s="10"/>
      <c r="M78" s="14" t="str">
        <f>IF(C78="","",LOWER(Codes!$B$4&amp;"-"&amp;G78&amp;IF(H78="","","-"&amp;H78)&amp;"-"&amp;C78&amp;"-"&amp;I78&amp;IF(J78="","","-"&amp;J78)&amp;"-"&amp;IF(L78="","01",TEXT(L78,"00"))))</f>
        <v/>
      </c>
      <c r="N78" s="15" t="str">
        <f>IF(C78="","",IF(ISNA(MATCH(C78,Codes!$J$8:$J$117,0)),"Unknown type code",IF(OR(G78="",I78=""),"Env and app required",IF(AND(VLOOKUP(C78,Codes!$J$8:$O$117,4,FALSE)="Global",H78&lt;&gt;""),"Global type: leave region blank",IF(AND(VLOOKUP(C78,Codes!$J$8:$O$117,4,FALSE)&lt;&gt;"Global",H78=""),"Region required",IF(AND(VLOOKUP(C78,Codes!$J$8:$O$117,5,FALSE)="Required",J78=""),"Qualifier required",IF(AND(VLOOKUP(C78,Codes!$J$8:$O$117,5,FALSE)="None",J78&lt;&gt;""),"This type takes no qualifier",IF(AND(J78&lt;&gt;"",VLOOKUP(C78,Codes!$J$8:$O$117,6,FALSE)&lt;&gt;"-",ISERROR(SEARCH(", "&amp;J78&amp;",",", "&amp;VLOOKUP(C78,Codes!$J$8:$O$117,6,FALSE)&amp;","))),"Qualifier not in allowed list",IF(COUNTIF($M$5:$M$304,M78)&gt;1,"Duplicate name","OK")))))))))</f>
        <v/>
      </c>
      <c r="O78" s="10"/>
      <c r="P78" s="10"/>
      <c r="Q78" s="10"/>
    </row>
    <row r="79" spans="1:17" x14ac:dyDescent="0.25">
      <c r="A79" s="10"/>
      <c r="B79" s="10"/>
      <c r="C79" s="10"/>
      <c r="D79" s="15" t="str">
        <f>IF(C79="","",IFERROR(VLOOKUP(C79,Codes!$J$8:$O$117,2,FALSE),"Unknown type"))</f>
        <v/>
      </c>
      <c r="E79" s="10"/>
      <c r="F79" s="10"/>
      <c r="G79" s="10"/>
      <c r="H79" s="10"/>
      <c r="I79" s="10"/>
      <c r="J79" s="10"/>
      <c r="K79" s="16" t="str">
        <f>IF(C79="","",IFERROR(VLOOKUP(C79,Codes!$J$8:$O$117,6,FALSE),""))</f>
        <v/>
      </c>
      <c r="L79" s="10"/>
      <c r="M79" s="14" t="str">
        <f>IF(C79="","",LOWER(Codes!$B$4&amp;"-"&amp;G79&amp;IF(H79="","","-"&amp;H79)&amp;"-"&amp;C79&amp;"-"&amp;I79&amp;IF(J79="","","-"&amp;J79)&amp;"-"&amp;IF(L79="","01",TEXT(L79,"00"))))</f>
        <v/>
      </c>
      <c r="N79" s="15" t="str">
        <f>IF(C79="","",IF(ISNA(MATCH(C79,Codes!$J$8:$J$117,0)),"Unknown type code",IF(OR(G79="",I79=""),"Env and app required",IF(AND(VLOOKUP(C79,Codes!$J$8:$O$117,4,FALSE)="Global",H79&lt;&gt;""),"Global type: leave region blank",IF(AND(VLOOKUP(C79,Codes!$J$8:$O$117,4,FALSE)&lt;&gt;"Global",H79=""),"Region required",IF(AND(VLOOKUP(C79,Codes!$J$8:$O$117,5,FALSE)="Required",J79=""),"Qualifier required",IF(AND(VLOOKUP(C79,Codes!$J$8:$O$117,5,FALSE)="None",J79&lt;&gt;""),"This type takes no qualifier",IF(AND(J79&lt;&gt;"",VLOOKUP(C79,Codes!$J$8:$O$117,6,FALSE)&lt;&gt;"-",ISERROR(SEARCH(", "&amp;J79&amp;",",", "&amp;VLOOKUP(C79,Codes!$J$8:$O$117,6,FALSE)&amp;","))),"Qualifier not in allowed list",IF(COUNTIF($M$5:$M$304,M79)&gt;1,"Duplicate name","OK")))))))))</f>
        <v/>
      </c>
      <c r="O79" s="10"/>
      <c r="P79" s="10"/>
      <c r="Q79" s="10"/>
    </row>
    <row r="80" spans="1:17" x14ac:dyDescent="0.25">
      <c r="A80" s="10"/>
      <c r="B80" s="10"/>
      <c r="C80" s="10"/>
      <c r="D80" s="15" t="str">
        <f>IF(C80="","",IFERROR(VLOOKUP(C80,Codes!$J$8:$O$117,2,FALSE),"Unknown type"))</f>
        <v/>
      </c>
      <c r="E80" s="10"/>
      <c r="F80" s="10"/>
      <c r="G80" s="10"/>
      <c r="H80" s="10"/>
      <c r="I80" s="10"/>
      <c r="J80" s="10"/>
      <c r="K80" s="16" t="str">
        <f>IF(C80="","",IFERROR(VLOOKUP(C80,Codes!$J$8:$O$117,6,FALSE),""))</f>
        <v/>
      </c>
      <c r="L80" s="10"/>
      <c r="M80" s="14" t="str">
        <f>IF(C80="","",LOWER(Codes!$B$4&amp;"-"&amp;G80&amp;IF(H80="","","-"&amp;H80)&amp;"-"&amp;C80&amp;"-"&amp;I80&amp;IF(J80="","","-"&amp;J80)&amp;"-"&amp;IF(L80="","01",TEXT(L80,"00"))))</f>
        <v/>
      </c>
      <c r="N80" s="15" t="str">
        <f>IF(C80="","",IF(ISNA(MATCH(C80,Codes!$J$8:$J$117,0)),"Unknown type code",IF(OR(G80="",I80=""),"Env and app required",IF(AND(VLOOKUP(C80,Codes!$J$8:$O$117,4,FALSE)="Global",H80&lt;&gt;""),"Global type: leave region blank",IF(AND(VLOOKUP(C80,Codes!$J$8:$O$117,4,FALSE)&lt;&gt;"Global",H80=""),"Region required",IF(AND(VLOOKUP(C80,Codes!$J$8:$O$117,5,FALSE)="Required",J80=""),"Qualifier required",IF(AND(VLOOKUP(C80,Codes!$J$8:$O$117,5,FALSE)="None",J80&lt;&gt;""),"This type takes no qualifier",IF(AND(J80&lt;&gt;"",VLOOKUP(C80,Codes!$J$8:$O$117,6,FALSE)&lt;&gt;"-",ISERROR(SEARCH(", "&amp;J80&amp;",",", "&amp;VLOOKUP(C80,Codes!$J$8:$O$117,6,FALSE)&amp;","))),"Qualifier not in allowed list",IF(COUNTIF($M$5:$M$304,M80)&gt;1,"Duplicate name","OK")))))))))</f>
        <v/>
      </c>
      <c r="O80" s="10"/>
      <c r="P80" s="10"/>
      <c r="Q80" s="10"/>
    </row>
    <row r="81" spans="1:17" x14ac:dyDescent="0.25">
      <c r="A81" s="10"/>
      <c r="B81" s="10"/>
      <c r="C81" s="10"/>
      <c r="D81" s="15" t="str">
        <f>IF(C81="","",IFERROR(VLOOKUP(C81,Codes!$J$8:$O$117,2,FALSE),"Unknown type"))</f>
        <v/>
      </c>
      <c r="E81" s="10"/>
      <c r="F81" s="10"/>
      <c r="G81" s="10"/>
      <c r="H81" s="10"/>
      <c r="I81" s="10"/>
      <c r="J81" s="10"/>
      <c r="K81" s="16" t="str">
        <f>IF(C81="","",IFERROR(VLOOKUP(C81,Codes!$J$8:$O$117,6,FALSE),""))</f>
        <v/>
      </c>
      <c r="L81" s="10"/>
      <c r="M81" s="14" t="str">
        <f>IF(C81="","",LOWER(Codes!$B$4&amp;"-"&amp;G81&amp;IF(H81="","","-"&amp;H81)&amp;"-"&amp;C81&amp;"-"&amp;I81&amp;IF(J81="","","-"&amp;J81)&amp;"-"&amp;IF(L81="","01",TEXT(L81,"00"))))</f>
        <v/>
      </c>
      <c r="N81" s="15" t="str">
        <f>IF(C81="","",IF(ISNA(MATCH(C81,Codes!$J$8:$J$117,0)),"Unknown type code",IF(OR(G81="",I81=""),"Env and app required",IF(AND(VLOOKUP(C81,Codes!$J$8:$O$117,4,FALSE)="Global",H81&lt;&gt;""),"Global type: leave region blank",IF(AND(VLOOKUP(C81,Codes!$J$8:$O$117,4,FALSE)&lt;&gt;"Global",H81=""),"Region required",IF(AND(VLOOKUP(C81,Codes!$J$8:$O$117,5,FALSE)="Required",J81=""),"Qualifier required",IF(AND(VLOOKUP(C81,Codes!$J$8:$O$117,5,FALSE)="None",J81&lt;&gt;""),"This type takes no qualifier",IF(AND(J81&lt;&gt;"",VLOOKUP(C81,Codes!$J$8:$O$117,6,FALSE)&lt;&gt;"-",ISERROR(SEARCH(", "&amp;J81&amp;",",", "&amp;VLOOKUP(C81,Codes!$J$8:$O$117,6,FALSE)&amp;","))),"Qualifier not in allowed list",IF(COUNTIF($M$5:$M$304,M81)&gt;1,"Duplicate name","OK")))))))))</f>
        <v/>
      </c>
      <c r="O81" s="10"/>
      <c r="P81" s="10"/>
      <c r="Q81" s="10"/>
    </row>
    <row r="82" spans="1:17" x14ac:dyDescent="0.25">
      <c r="A82" s="10"/>
      <c r="B82" s="10"/>
      <c r="C82" s="10"/>
      <c r="D82" s="15" t="str">
        <f>IF(C82="","",IFERROR(VLOOKUP(C82,Codes!$J$8:$O$117,2,FALSE),"Unknown type"))</f>
        <v/>
      </c>
      <c r="E82" s="10"/>
      <c r="F82" s="10"/>
      <c r="G82" s="10"/>
      <c r="H82" s="10"/>
      <c r="I82" s="10"/>
      <c r="J82" s="10"/>
      <c r="K82" s="16" t="str">
        <f>IF(C82="","",IFERROR(VLOOKUP(C82,Codes!$J$8:$O$117,6,FALSE),""))</f>
        <v/>
      </c>
      <c r="L82" s="10"/>
      <c r="M82" s="14" t="str">
        <f>IF(C82="","",LOWER(Codes!$B$4&amp;"-"&amp;G82&amp;IF(H82="","","-"&amp;H82)&amp;"-"&amp;C82&amp;"-"&amp;I82&amp;IF(J82="","","-"&amp;J82)&amp;"-"&amp;IF(L82="","01",TEXT(L82,"00"))))</f>
        <v/>
      </c>
      <c r="N82" s="15" t="str">
        <f>IF(C82="","",IF(ISNA(MATCH(C82,Codes!$J$8:$J$117,0)),"Unknown type code",IF(OR(G82="",I82=""),"Env and app required",IF(AND(VLOOKUP(C82,Codes!$J$8:$O$117,4,FALSE)="Global",H82&lt;&gt;""),"Global type: leave region blank",IF(AND(VLOOKUP(C82,Codes!$J$8:$O$117,4,FALSE)&lt;&gt;"Global",H82=""),"Region required",IF(AND(VLOOKUP(C82,Codes!$J$8:$O$117,5,FALSE)="Required",J82=""),"Qualifier required",IF(AND(VLOOKUP(C82,Codes!$J$8:$O$117,5,FALSE)="None",J82&lt;&gt;""),"This type takes no qualifier",IF(AND(J82&lt;&gt;"",VLOOKUP(C82,Codes!$J$8:$O$117,6,FALSE)&lt;&gt;"-",ISERROR(SEARCH(", "&amp;J82&amp;",",", "&amp;VLOOKUP(C82,Codes!$J$8:$O$117,6,FALSE)&amp;","))),"Qualifier not in allowed list",IF(COUNTIF($M$5:$M$304,M82)&gt;1,"Duplicate name","OK")))))))))</f>
        <v/>
      </c>
      <c r="O82" s="10"/>
      <c r="P82" s="10"/>
      <c r="Q82" s="10"/>
    </row>
    <row r="83" spans="1:17" x14ac:dyDescent="0.25">
      <c r="A83" s="10"/>
      <c r="B83" s="10"/>
      <c r="C83" s="10"/>
      <c r="D83" s="15" t="str">
        <f>IF(C83="","",IFERROR(VLOOKUP(C83,Codes!$J$8:$O$117,2,FALSE),"Unknown type"))</f>
        <v/>
      </c>
      <c r="E83" s="10"/>
      <c r="F83" s="10"/>
      <c r="G83" s="10"/>
      <c r="H83" s="10"/>
      <c r="I83" s="10"/>
      <c r="J83" s="10"/>
      <c r="K83" s="16" t="str">
        <f>IF(C83="","",IFERROR(VLOOKUP(C83,Codes!$J$8:$O$117,6,FALSE),""))</f>
        <v/>
      </c>
      <c r="L83" s="10"/>
      <c r="M83" s="14" t="str">
        <f>IF(C83="","",LOWER(Codes!$B$4&amp;"-"&amp;G83&amp;IF(H83="","","-"&amp;H83)&amp;"-"&amp;C83&amp;"-"&amp;I83&amp;IF(J83="","","-"&amp;J83)&amp;"-"&amp;IF(L83="","01",TEXT(L83,"00"))))</f>
        <v/>
      </c>
      <c r="N83" s="15" t="str">
        <f>IF(C83="","",IF(ISNA(MATCH(C83,Codes!$J$8:$J$117,0)),"Unknown type code",IF(OR(G83="",I83=""),"Env and app required",IF(AND(VLOOKUP(C83,Codes!$J$8:$O$117,4,FALSE)="Global",H83&lt;&gt;""),"Global type: leave region blank",IF(AND(VLOOKUP(C83,Codes!$J$8:$O$117,4,FALSE)&lt;&gt;"Global",H83=""),"Region required",IF(AND(VLOOKUP(C83,Codes!$J$8:$O$117,5,FALSE)="Required",J83=""),"Qualifier required",IF(AND(VLOOKUP(C83,Codes!$J$8:$O$117,5,FALSE)="None",J83&lt;&gt;""),"This type takes no qualifier",IF(AND(J83&lt;&gt;"",VLOOKUP(C83,Codes!$J$8:$O$117,6,FALSE)&lt;&gt;"-",ISERROR(SEARCH(", "&amp;J83&amp;",",", "&amp;VLOOKUP(C83,Codes!$J$8:$O$117,6,FALSE)&amp;","))),"Qualifier not in allowed list",IF(COUNTIF($M$5:$M$304,M83)&gt;1,"Duplicate name","OK")))))))))</f>
        <v/>
      </c>
      <c r="O83" s="10"/>
      <c r="P83" s="10"/>
      <c r="Q83" s="10"/>
    </row>
    <row r="84" spans="1:17" x14ac:dyDescent="0.25">
      <c r="A84" s="10"/>
      <c r="B84" s="10"/>
      <c r="C84" s="10"/>
      <c r="D84" s="15" t="str">
        <f>IF(C84="","",IFERROR(VLOOKUP(C84,Codes!$J$8:$O$117,2,FALSE),"Unknown type"))</f>
        <v/>
      </c>
      <c r="E84" s="10"/>
      <c r="F84" s="10"/>
      <c r="G84" s="10"/>
      <c r="H84" s="10"/>
      <c r="I84" s="10"/>
      <c r="J84" s="10"/>
      <c r="K84" s="16" t="str">
        <f>IF(C84="","",IFERROR(VLOOKUP(C84,Codes!$J$8:$O$117,6,FALSE),""))</f>
        <v/>
      </c>
      <c r="L84" s="10"/>
      <c r="M84" s="14" t="str">
        <f>IF(C84="","",LOWER(Codes!$B$4&amp;"-"&amp;G84&amp;IF(H84="","","-"&amp;H84)&amp;"-"&amp;C84&amp;"-"&amp;I84&amp;IF(J84="","","-"&amp;J84)&amp;"-"&amp;IF(L84="","01",TEXT(L84,"00"))))</f>
        <v/>
      </c>
      <c r="N84" s="15" t="str">
        <f>IF(C84="","",IF(ISNA(MATCH(C84,Codes!$J$8:$J$117,0)),"Unknown type code",IF(OR(G84="",I84=""),"Env and app required",IF(AND(VLOOKUP(C84,Codes!$J$8:$O$117,4,FALSE)="Global",H84&lt;&gt;""),"Global type: leave region blank",IF(AND(VLOOKUP(C84,Codes!$J$8:$O$117,4,FALSE)&lt;&gt;"Global",H84=""),"Region required",IF(AND(VLOOKUP(C84,Codes!$J$8:$O$117,5,FALSE)="Required",J84=""),"Qualifier required",IF(AND(VLOOKUP(C84,Codes!$J$8:$O$117,5,FALSE)="None",J84&lt;&gt;""),"This type takes no qualifier",IF(AND(J84&lt;&gt;"",VLOOKUP(C84,Codes!$J$8:$O$117,6,FALSE)&lt;&gt;"-",ISERROR(SEARCH(", "&amp;J84&amp;",",", "&amp;VLOOKUP(C84,Codes!$J$8:$O$117,6,FALSE)&amp;","))),"Qualifier not in allowed list",IF(COUNTIF($M$5:$M$304,M84)&gt;1,"Duplicate name","OK")))))))))</f>
        <v/>
      </c>
      <c r="O84" s="10"/>
      <c r="P84" s="10"/>
      <c r="Q84" s="10"/>
    </row>
    <row r="85" spans="1:17" x14ac:dyDescent="0.25">
      <c r="A85" s="10"/>
      <c r="B85" s="10"/>
      <c r="C85" s="10"/>
      <c r="D85" s="15" t="str">
        <f>IF(C85="","",IFERROR(VLOOKUP(C85,Codes!$J$8:$O$117,2,FALSE),"Unknown type"))</f>
        <v/>
      </c>
      <c r="E85" s="10"/>
      <c r="F85" s="10"/>
      <c r="G85" s="10"/>
      <c r="H85" s="10"/>
      <c r="I85" s="10"/>
      <c r="J85" s="10"/>
      <c r="K85" s="16" t="str">
        <f>IF(C85="","",IFERROR(VLOOKUP(C85,Codes!$J$8:$O$117,6,FALSE),""))</f>
        <v/>
      </c>
      <c r="L85" s="10"/>
      <c r="M85" s="14" t="str">
        <f>IF(C85="","",LOWER(Codes!$B$4&amp;"-"&amp;G85&amp;IF(H85="","","-"&amp;H85)&amp;"-"&amp;C85&amp;"-"&amp;I85&amp;IF(J85="","","-"&amp;J85)&amp;"-"&amp;IF(L85="","01",TEXT(L85,"00"))))</f>
        <v/>
      </c>
      <c r="N85" s="15" t="str">
        <f>IF(C85="","",IF(ISNA(MATCH(C85,Codes!$J$8:$J$117,0)),"Unknown type code",IF(OR(G85="",I85=""),"Env and app required",IF(AND(VLOOKUP(C85,Codes!$J$8:$O$117,4,FALSE)="Global",H85&lt;&gt;""),"Global type: leave region blank",IF(AND(VLOOKUP(C85,Codes!$J$8:$O$117,4,FALSE)&lt;&gt;"Global",H85=""),"Region required",IF(AND(VLOOKUP(C85,Codes!$J$8:$O$117,5,FALSE)="Required",J85=""),"Qualifier required",IF(AND(VLOOKUP(C85,Codes!$J$8:$O$117,5,FALSE)="None",J85&lt;&gt;""),"This type takes no qualifier",IF(AND(J85&lt;&gt;"",VLOOKUP(C85,Codes!$J$8:$O$117,6,FALSE)&lt;&gt;"-",ISERROR(SEARCH(", "&amp;J85&amp;",",", "&amp;VLOOKUP(C85,Codes!$J$8:$O$117,6,FALSE)&amp;","))),"Qualifier not in allowed list",IF(COUNTIF($M$5:$M$304,M85)&gt;1,"Duplicate name","OK")))))))))</f>
        <v/>
      </c>
      <c r="O85" s="10"/>
      <c r="P85" s="10"/>
      <c r="Q85" s="10"/>
    </row>
    <row r="86" spans="1:17" x14ac:dyDescent="0.25">
      <c r="A86" s="10"/>
      <c r="B86" s="10"/>
      <c r="C86" s="10"/>
      <c r="D86" s="15" t="str">
        <f>IF(C86="","",IFERROR(VLOOKUP(C86,Codes!$J$8:$O$117,2,FALSE),"Unknown type"))</f>
        <v/>
      </c>
      <c r="E86" s="10"/>
      <c r="F86" s="10"/>
      <c r="G86" s="10"/>
      <c r="H86" s="10"/>
      <c r="I86" s="10"/>
      <c r="J86" s="10"/>
      <c r="K86" s="16" t="str">
        <f>IF(C86="","",IFERROR(VLOOKUP(C86,Codes!$J$8:$O$117,6,FALSE),""))</f>
        <v/>
      </c>
      <c r="L86" s="10"/>
      <c r="M86" s="14" t="str">
        <f>IF(C86="","",LOWER(Codes!$B$4&amp;"-"&amp;G86&amp;IF(H86="","","-"&amp;H86)&amp;"-"&amp;C86&amp;"-"&amp;I86&amp;IF(J86="","","-"&amp;J86)&amp;"-"&amp;IF(L86="","01",TEXT(L86,"00"))))</f>
        <v/>
      </c>
      <c r="N86" s="15" t="str">
        <f>IF(C86="","",IF(ISNA(MATCH(C86,Codes!$J$8:$J$117,0)),"Unknown type code",IF(OR(G86="",I86=""),"Env and app required",IF(AND(VLOOKUP(C86,Codes!$J$8:$O$117,4,FALSE)="Global",H86&lt;&gt;""),"Global type: leave region blank",IF(AND(VLOOKUP(C86,Codes!$J$8:$O$117,4,FALSE)&lt;&gt;"Global",H86=""),"Region required",IF(AND(VLOOKUP(C86,Codes!$J$8:$O$117,5,FALSE)="Required",J86=""),"Qualifier required",IF(AND(VLOOKUP(C86,Codes!$J$8:$O$117,5,FALSE)="None",J86&lt;&gt;""),"This type takes no qualifier",IF(AND(J86&lt;&gt;"",VLOOKUP(C86,Codes!$J$8:$O$117,6,FALSE)&lt;&gt;"-",ISERROR(SEARCH(", "&amp;J86&amp;",",", "&amp;VLOOKUP(C86,Codes!$J$8:$O$117,6,FALSE)&amp;","))),"Qualifier not in allowed list",IF(COUNTIF($M$5:$M$304,M86)&gt;1,"Duplicate name","OK")))))))))</f>
        <v/>
      </c>
      <c r="O86" s="10"/>
      <c r="P86" s="10"/>
      <c r="Q86" s="10"/>
    </row>
    <row r="87" spans="1:17" x14ac:dyDescent="0.25">
      <c r="A87" s="10"/>
      <c r="B87" s="10"/>
      <c r="C87" s="10"/>
      <c r="D87" s="15" t="str">
        <f>IF(C87="","",IFERROR(VLOOKUP(C87,Codes!$J$8:$O$117,2,FALSE),"Unknown type"))</f>
        <v/>
      </c>
      <c r="E87" s="10"/>
      <c r="F87" s="10"/>
      <c r="G87" s="10"/>
      <c r="H87" s="10"/>
      <c r="I87" s="10"/>
      <c r="J87" s="10"/>
      <c r="K87" s="16" t="str">
        <f>IF(C87="","",IFERROR(VLOOKUP(C87,Codes!$J$8:$O$117,6,FALSE),""))</f>
        <v/>
      </c>
      <c r="L87" s="10"/>
      <c r="M87" s="14" t="str">
        <f>IF(C87="","",LOWER(Codes!$B$4&amp;"-"&amp;G87&amp;IF(H87="","","-"&amp;H87)&amp;"-"&amp;C87&amp;"-"&amp;I87&amp;IF(J87="","","-"&amp;J87)&amp;"-"&amp;IF(L87="","01",TEXT(L87,"00"))))</f>
        <v/>
      </c>
      <c r="N87" s="15" t="str">
        <f>IF(C87="","",IF(ISNA(MATCH(C87,Codes!$J$8:$J$117,0)),"Unknown type code",IF(OR(G87="",I87=""),"Env and app required",IF(AND(VLOOKUP(C87,Codes!$J$8:$O$117,4,FALSE)="Global",H87&lt;&gt;""),"Global type: leave region blank",IF(AND(VLOOKUP(C87,Codes!$J$8:$O$117,4,FALSE)&lt;&gt;"Global",H87=""),"Region required",IF(AND(VLOOKUP(C87,Codes!$J$8:$O$117,5,FALSE)="Required",J87=""),"Qualifier required",IF(AND(VLOOKUP(C87,Codes!$J$8:$O$117,5,FALSE)="None",J87&lt;&gt;""),"This type takes no qualifier",IF(AND(J87&lt;&gt;"",VLOOKUP(C87,Codes!$J$8:$O$117,6,FALSE)&lt;&gt;"-",ISERROR(SEARCH(", "&amp;J87&amp;",",", "&amp;VLOOKUP(C87,Codes!$J$8:$O$117,6,FALSE)&amp;","))),"Qualifier not in allowed list",IF(COUNTIF($M$5:$M$304,M87)&gt;1,"Duplicate name","OK")))))))))</f>
        <v/>
      </c>
      <c r="O87" s="10"/>
      <c r="P87" s="10"/>
      <c r="Q87" s="10"/>
    </row>
    <row r="88" spans="1:17" x14ac:dyDescent="0.25">
      <c r="A88" s="10"/>
      <c r="B88" s="10"/>
      <c r="C88" s="10"/>
      <c r="D88" s="15" t="str">
        <f>IF(C88="","",IFERROR(VLOOKUP(C88,Codes!$J$8:$O$117,2,FALSE),"Unknown type"))</f>
        <v/>
      </c>
      <c r="E88" s="10"/>
      <c r="F88" s="10"/>
      <c r="G88" s="10"/>
      <c r="H88" s="10"/>
      <c r="I88" s="10"/>
      <c r="J88" s="10"/>
      <c r="K88" s="16" t="str">
        <f>IF(C88="","",IFERROR(VLOOKUP(C88,Codes!$J$8:$O$117,6,FALSE),""))</f>
        <v/>
      </c>
      <c r="L88" s="10"/>
      <c r="M88" s="14" t="str">
        <f>IF(C88="","",LOWER(Codes!$B$4&amp;"-"&amp;G88&amp;IF(H88="","","-"&amp;H88)&amp;"-"&amp;C88&amp;"-"&amp;I88&amp;IF(J88="","","-"&amp;J88)&amp;"-"&amp;IF(L88="","01",TEXT(L88,"00"))))</f>
        <v/>
      </c>
      <c r="N88" s="15" t="str">
        <f>IF(C88="","",IF(ISNA(MATCH(C88,Codes!$J$8:$J$117,0)),"Unknown type code",IF(OR(G88="",I88=""),"Env and app required",IF(AND(VLOOKUP(C88,Codes!$J$8:$O$117,4,FALSE)="Global",H88&lt;&gt;""),"Global type: leave region blank",IF(AND(VLOOKUP(C88,Codes!$J$8:$O$117,4,FALSE)&lt;&gt;"Global",H88=""),"Region required",IF(AND(VLOOKUP(C88,Codes!$J$8:$O$117,5,FALSE)="Required",J88=""),"Qualifier required",IF(AND(VLOOKUP(C88,Codes!$J$8:$O$117,5,FALSE)="None",J88&lt;&gt;""),"This type takes no qualifier",IF(AND(J88&lt;&gt;"",VLOOKUP(C88,Codes!$J$8:$O$117,6,FALSE)&lt;&gt;"-",ISERROR(SEARCH(", "&amp;J88&amp;",",", "&amp;VLOOKUP(C88,Codes!$J$8:$O$117,6,FALSE)&amp;","))),"Qualifier not in allowed list",IF(COUNTIF($M$5:$M$304,M88)&gt;1,"Duplicate name","OK")))))))))</f>
        <v/>
      </c>
      <c r="O88" s="10"/>
      <c r="P88" s="10"/>
      <c r="Q88" s="10"/>
    </row>
    <row r="89" spans="1:17" x14ac:dyDescent="0.25">
      <c r="A89" s="10"/>
      <c r="B89" s="10"/>
      <c r="C89" s="10"/>
      <c r="D89" s="15" t="str">
        <f>IF(C89="","",IFERROR(VLOOKUP(C89,Codes!$J$8:$O$117,2,FALSE),"Unknown type"))</f>
        <v/>
      </c>
      <c r="E89" s="10"/>
      <c r="F89" s="10"/>
      <c r="G89" s="10"/>
      <c r="H89" s="10"/>
      <c r="I89" s="10"/>
      <c r="J89" s="10"/>
      <c r="K89" s="16" t="str">
        <f>IF(C89="","",IFERROR(VLOOKUP(C89,Codes!$J$8:$O$117,6,FALSE),""))</f>
        <v/>
      </c>
      <c r="L89" s="10"/>
      <c r="M89" s="14" t="str">
        <f>IF(C89="","",LOWER(Codes!$B$4&amp;"-"&amp;G89&amp;IF(H89="","","-"&amp;H89)&amp;"-"&amp;C89&amp;"-"&amp;I89&amp;IF(J89="","","-"&amp;J89)&amp;"-"&amp;IF(L89="","01",TEXT(L89,"00"))))</f>
        <v/>
      </c>
      <c r="N89" s="15" t="str">
        <f>IF(C89="","",IF(ISNA(MATCH(C89,Codes!$J$8:$J$117,0)),"Unknown type code",IF(OR(G89="",I89=""),"Env and app required",IF(AND(VLOOKUP(C89,Codes!$J$8:$O$117,4,FALSE)="Global",H89&lt;&gt;""),"Global type: leave region blank",IF(AND(VLOOKUP(C89,Codes!$J$8:$O$117,4,FALSE)&lt;&gt;"Global",H89=""),"Region required",IF(AND(VLOOKUP(C89,Codes!$J$8:$O$117,5,FALSE)="Required",J89=""),"Qualifier required",IF(AND(VLOOKUP(C89,Codes!$J$8:$O$117,5,FALSE)="None",J89&lt;&gt;""),"This type takes no qualifier",IF(AND(J89&lt;&gt;"",VLOOKUP(C89,Codes!$J$8:$O$117,6,FALSE)&lt;&gt;"-",ISERROR(SEARCH(", "&amp;J89&amp;",",", "&amp;VLOOKUP(C89,Codes!$J$8:$O$117,6,FALSE)&amp;","))),"Qualifier not in allowed list",IF(COUNTIF($M$5:$M$304,M89)&gt;1,"Duplicate name","OK")))))))))</f>
        <v/>
      </c>
      <c r="O89" s="10"/>
      <c r="P89" s="10"/>
      <c r="Q89" s="10"/>
    </row>
    <row r="90" spans="1:17" x14ac:dyDescent="0.25">
      <c r="A90" s="10"/>
      <c r="B90" s="10"/>
      <c r="C90" s="10"/>
      <c r="D90" s="15" t="str">
        <f>IF(C90="","",IFERROR(VLOOKUP(C90,Codes!$J$8:$O$117,2,FALSE),"Unknown type"))</f>
        <v/>
      </c>
      <c r="E90" s="10"/>
      <c r="F90" s="10"/>
      <c r="G90" s="10"/>
      <c r="H90" s="10"/>
      <c r="I90" s="10"/>
      <c r="J90" s="10"/>
      <c r="K90" s="16" t="str">
        <f>IF(C90="","",IFERROR(VLOOKUP(C90,Codes!$J$8:$O$117,6,FALSE),""))</f>
        <v/>
      </c>
      <c r="L90" s="10"/>
      <c r="M90" s="14" t="str">
        <f>IF(C90="","",LOWER(Codes!$B$4&amp;"-"&amp;G90&amp;IF(H90="","","-"&amp;H90)&amp;"-"&amp;C90&amp;"-"&amp;I90&amp;IF(J90="","","-"&amp;J90)&amp;"-"&amp;IF(L90="","01",TEXT(L90,"00"))))</f>
        <v/>
      </c>
      <c r="N90" s="15" t="str">
        <f>IF(C90="","",IF(ISNA(MATCH(C90,Codes!$J$8:$J$117,0)),"Unknown type code",IF(OR(G90="",I90=""),"Env and app required",IF(AND(VLOOKUP(C90,Codes!$J$8:$O$117,4,FALSE)="Global",H90&lt;&gt;""),"Global type: leave region blank",IF(AND(VLOOKUP(C90,Codes!$J$8:$O$117,4,FALSE)&lt;&gt;"Global",H90=""),"Region required",IF(AND(VLOOKUP(C90,Codes!$J$8:$O$117,5,FALSE)="Required",J90=""),"Qualifier required",IF(AND(VLOOKUP(C90,Codes!$J$8:$O$117,5,FALSE)="None",J90&lt;&gt;""),"This type takes no qualifier",IF(AND(J90&lt;&gt;"",VLOOKUP(C90,Codes!$J$8:$O$117,6,FALSE)&lt;&gt;"-",ISERROR(SEARCH(", "&amp;J90&amp;",",", "&amp;VLOOKUP(C90,Codes!$J$8:$O$117,6,FALSE)&amp;","))),"Qualifier not in allowed list",IF(COUNTIF($M$5:$M$304,M90)&gt;1,"Duplicate name","OK")))))))))</f>
        <v/>
      </c>
      <c r="O90" s="10"/>
      <c r="P90" s="10"/>
      <c r="Q90" s="10"/>
    </row>
    <row r="91" spans="1:17" x14ac:dyDescent="0.25">
      <c r="A91" s="10"/>
      <c r="B91" s="10"/>
      <c r="C91" s="10"/>
      <c r="D91" s="15" t="str">
        <f>IF(C91="","",IFERROR(VLOOKUP(C91,Codes!$J$8:$O$117,2,FALSE),"Unknown type"))</f>
        <v/>
      </c>
      <c r="E91" s="10"/>
      <c r="F91" s="10"/>
      <c r="G91" s="10"/>
      <c r="H91" s="10"/>
      <c r="I91" s="10"/>
      <c r="J91" s="10"/>
      <c r="K91" s="16" t="str">
        <f>IF(C91="","",IFERROR(VLOOKUP(C91,Codes!$J$8:$O$117,6,FALSE),""))</f>
        <v/>
      </c>
      <c r="L91" s="10"/>
      <c r="M91" s="14" t="str">
        <f>IF(C91="","",LOWER(Codes!$B$4&amp;"-"&amp;G91&amp;IF(H91="","","-"&amp;H91)&amp;"-"&amp;C91&amp;"-"&amp;I91&amp;IF(J91="","","-"&amp;J91)&amp;"-"&amp;IF(L91="","01",TEXT(L91,"00"))))</f>
        <v/>
      </c>
      <c r="N91" s="15" t="str">
        <f>IF(C91="","",IF(ISNA(MATCH(C91,Codes!$J$8:$J$117,0)),"Unknown type code",IF(OR(G91="",I91=""),"Env and app required",IF(AND(VLOOKUP(C91,Codes!$J$8:$O$117,4,FALSE)="Global",H91&lt;&gt;""),"Global type: leave region blank",IF(AND(VLOOKUP(C91,Codes!$J$8:$O$117,4,FALSE)&lt;&gt;"Global",H91=""),"Region required",IF(AND(VLOOKUP(C91,Codes!$J$8:$O$117,5,FALSE)="Required",J91=""),"Qualifier required",IF(AND(VLOOKUP(C91,Codes!$J$8:$O$117,5,FALSE)="None",J91&lt;&gt;""),"This type takes no qualifier",IF(AND(J91&lt;&gt;"",VLOOKUP(C91,Codes!$J$8:$O$117,6,FALSE)&lt;&gt;"-",ISERROR(SEARCH(", "&amp;J91&amp;",",", "&amp;VLOOKUP(C91,Codes!$J$8:$O$117,6,FALSE)&amp;","))),"Qualifier not in allowed list",IF(COUNTIF($M$5:$M$304,M91)&gt;1,"Duplicate name","OK")))))))))</f>
        <v/>
      </c>
      <c r="O91" s="10"/>
      <c r="P91" s="10"/>
      <c r="Q91" s="10"/>
    </row>
    <row r="92" spans="1:17" x14ac:dyDescent="0.25">
      <c r="A92" s="10"/>
      <c r="B92" s="10"/>
      <c r="C92" s="10"/>
      <c r="D92" s="15" t="str">
        <f>IF(C92="","",IFERROR(VLOOKUP(C92,Codes!$J$8:$O$117,2,FALSE),"Unknown type"))</f>
        <v/>
      </c>
      <c r="E92" s="10"/>
      <c r="F92" s="10"/>
      <c r="G92" s="10"/>
      <c r="H92" s="10"/>
      <c r="I92" s="10"/>
      <c r="J92" s="10"/>
      <c r="K92" s="16" t="str">
        <f>IF(C92="","",IFERROR(VLOOKUP(C92,Codes!$J$8:$O$117,6,FALSE),""))</f>
        <v/>
      </c>
      <c r="L92" s="10"/>
      <c r="M92" s="14" t="str">
        <f>IF(C92="","",LOWER(Codes!$B$4&amp;"-"&amp;G92&amp;IF(H92="","","-"&amp;H92)&amp;"-"&amp;C92&amp;"-"&amp;I92&amp;IF(J92="","","-"&amp;J92)&amp;"-"&amp;IF(L92="","01",TEXT(L92,"00"))))</f>
        <v/>
      </c>
      <c r="N92" s="15" t="str">
        <f>IF(C92="","",IF(ISNA(MATCH(C92,Codes!$J$8:$J$117,0)),"Unknown type code",IF(OR(G92="",I92=""),"Env and app required",IF(AND(VLOOKUP(C92,Codes!$J$8:$O$117,4,FALSE)="Global",H92&lt;&gt;""),"Global type: leave region blank",IF(AND(VLOOKUP(C92,Codes!$J$8:$O$117,4,FALSE)&lt;&gt;"Global",H92=""),"Region required",IF(AND(VLOOKUP(C92,Codes!$J$8:$O$117,5,FALSE)="Required",J92=""),"Qualifier required",IF(AND(VLOOKUP(C92,Codes!$J$8:$O$117,5,FALSE)="None",J92&lt;&gt;""),"This type takes no qualifier",IF(AND(J92&lt;&gt;"",VLOOKUP(C92,Codes!$J$8:$O$117,6,FALSE)&lt;&gt;"-",ISERROR(SEARCH(", "&amp;J92&amp;",",", "&amp;VLOOKUP(C92,Codes!$J$8:$O$117,6,FALSE)&amp;","))),"Qualifier not in allowed list",IF(COUNTIF($M$5:$M$304,M92)&gt;1,"Duplicate name","OK")))))))))</f>
        <v/>
      </c>
      <c r="O92" s="10"/>
      <c r="P92" s="10"/>
      <c r="Q92" s="10"/>
    </row>
    <row r="93" spans="1:17" x14ac:dyDescent="0.25">
      <c r="A93" s="10"/>
      <c r="B93" s="10"/>
      <c r="C93" s="10"/>
      <c r="D93" s="15" t="str">
        <f>IF(C93="","",IFERROR(VLOOKUP(C93,Codes!$J$8:$O$117,2,FALSE),"Unknown type"))</f>
        <v/>
      </c>
      <c r="E93" s="10"/>
      <c r="F93" s="10"/>
      <c r="G93" s="10"/>
      <c r="H93" s="10"/>
      <c r="I93" s="10"/>
      <c r="J93" s="10"/>
      <c r="K93" s="16" t="str">
        <f>IF(C93="","",IFERROR(VLOOKUP(C93,Codes!$J$8:$O$117,6,FALSE),""))</f>
        <v/>
      </c>
      <c r="L93" s="10"/>
      <c r="M93" s="14" t="str">
        <f>IF(C93="","",LOWER(Codes!$B$4&amp;"-"&amp;G93&amp;IF(H93="","","-"&amp;H93)&amp;"-"&amp;C93&amp;"-"&amp;I93&amp;IF(J93="","","-"&amp;J93)&amp;"-"&amp;IF(L93="","01",TEXT(L93,"00"))))</f>
        <v/>
      </c>
      <c r="N93" s="15" t="str">
        <f>IF(C93="","",IF(ISNA(MATCH(C93,Codes!$J$8:$J$117,0)),"Unknown type code",IF(OR(G93="",I93=""),"Env and app required",IF(AND(VLOOKUP(C93,Codes!$J$8:$O$117,4,FALSE)="Global",H93&lt;&gt;""),"Global type: leave region blank",IF(AND(VLOOKUP(C93,Codes!$J$8:$O$117,4,FALSE)&lt;&gt;"Global",H93=""),"Region required",IF(AND(VLOOKUP(C93,Codes!$J$8:$O$117,5,FALSE)="Required",J93=""),"Qualifier required",IF(AND(VLOOKUP(C93,Codes!$J$8:$O$117,5,FALSE)="None",J93&lt;&gt;""),"This type takes no qualifier",IF(AND(J93&lt;&gt;"",VLOOKUP(C93,Codes!$J$8:$O$117,6,FALSE)&lt;&gt;"-",ISERROR(SEARCH(", "&amp;J93&amp;",",", "&amp;VLOOKUP(C93,Codes!$J$8:$O$117,6,FALSE)&amp;","))),"Qualifier not in allowed list",IF(COUNTIF($M$5:$M$304,M93)&gt;1,"Duplicate name","OK")))))))))</f>
        <v/>
      </c>
      <c r="O93" s="10"/>
      <c r="P93" s="10"/>
      <c r="Q93" s="10"/>
    </row>
    <row r="94" spans="1:17" x14ac:dyDescent="0.25">
      <c r="A94" s="10"/>
      <c r="B94" s="10"/>
      <c r="C94" s="10"/>
      <c r="D94" s="15" t="str">
        <f>IF(C94="","",IFERROR(VLOOKUP(C94,Codes!$J$8:$O$117,2,FALSE),"Unknown type"))</f>
        <v/>
      </c>
      <c r="E94" s="10"/>
      <c r="F94" s="10"/>
      <c r="G94" s="10"/>
      <c r="H94" s="10"/>
      <c r="I94" s="10"/>
      <c r="J94" s="10"/>
      <c r="K94" s="16" t="str">
        <f>IF(C94="","",IFERROR(VLOOKUP(C94,Codes!$J$8:$O$117,6,FALSE),""))</f>
        <v/>
      </c>
      <c r="L94" s="10"/>
      <c r="M94" s="14" t="str">
        <f>IF(C94="","",LOWER(Codes!$B$4&amp;"-"&amp;G94&amp;IF(H94="","","-"&amp;H94)&amp;"-"&amp;C94&amp;"-"&amp;I94&amp;IF(J94="","","-"&amp;J94)&amp;"-"&amp;IF(L94="","01",TEXT(L94,"00"))))</f>
        <v/>
      </c>
      <c r="N94" s="15" t="str">
        <f>IF(C94="","",IF(ISNA(MATCH(C94,Codes!$J$8:$J$117,0)),"Unknown type code",IF(OR(G94="",I94=""),"Env and app required",IF(AND(VLOOKUP(C94,Codes!$J$8:$O$117,4,FALSE)="Global",H94&lt;&gt;""),"Global type: leave region blank",IF(AND(VLOOKUP(C94,Codes!$J$8:$O$117,4,FALSE)&lt;&gt;"Global",H94=""),"Region required",IF(AND(VLOOKUP(C94,Codes!$J$8:$O$117,5,FALSE)="Required",J94=""),"Qualifier required",IF(AND(VLOOKUP(C94,Codes!$J$8:$O$117,5,FALSE)="None",J94&lt;&gt;""),"This type takes no qualifier",IF(AND(J94&lt;&gt;"",VLOOKUP(C94,Codes!$J$8:$O$117,6,FALSE)&lt;&gt;"-",ISERROR(SEARCH(", "&amp;J94&amp;",",", "&amp;VLOOKUP(C94,Codes!$J$8:$O$117,6,FALSE)&amp;","))),"Qualifier not in allowed list",IF(COUNTIF($M$5:$M$304,M94)&gt;1,"Duplicate name","OK")))))))))</f>
        <v/>
      </c>
      <c r="O94" s="10"/>
      <c r="P94" s="10"/>
      <c r="Q94" s="10"/>
    </row>
    <row r="95" spans="1:17" x14ac:dyDescent="0.25">
      <c r="A95" s="10"/>
      <c r="B95" s="10"/>
      <c r="C95" s="10"/>
      <c r="D95" s="15" t="str">
        <f>IF(C95="","",IFERROR(VLOOKUP(C95,Codes!$J$8:$O$117,2,FALSE),"Unknown type"))</f>
        <v/>
      </c>
      <c r="E95" s="10"/>
      <c r="F95" s="10"/>
      <c r="G95" s="10"/>
      <c r="H95" s="10"/>
      <c r="I95" s="10"/>
      <c r="J95" s="10"/>
      <c r="K95" s="16" t="str">
        <f>IF(C95="","",IFERROR(VLOOKUP(C95,Codes!$J$8:$O$117,6,FALSE),""))</f>
        <v/>
      </c>
      <c r="L95" s="10"/>
      <c r="M95" s="14" t="str">
        <f>IF(C95="","",LOWER(Codes!$B$4&amp;"-"&amp;G95&amp;IF(H95="","","-"&amp;H95)&amp;"-"&amp;C95&amp;"-"&amp;I95&amp;IF(J95="","","-"&amp;J95)&amp;"-"&amp;IF(L95="","01",TEXT(L95,"00"))))</f>
        <v/>
      </c>
      <c r="N95" s="15" t="str">
        <f>IF(C95="","",IF(ISNA(MATCH(C95,Codes!$J$8:$J$117,0)),"Unknown type code",IF(OR(G95="",I95=""),"Env and app required",IF(AND(VLOOKUP(C95,Codes!$J$8:$O$117,4,FALSE)="Global",H95&lt;&gt;""),"Global type: leave region blank",IF(AND(VLOOKUP(C95,Codes!$J$8:$O$117,4,FALSE)&lt;&gt;"Global",H95=""),"Region required",IF(AND(VLOOKUP(C95,Codes!$J$8:$O$117,5,FALSE)="Required",J95=""),"Qualifier required",IF(AND(VLOOKUP(C95,Codes!$J$8:$O$117,5,FALSE)="None",J95&lt;&gt;""),"This type takes no qualifier",IF(AND(J95&lt;&gt;"",VLOOKUP(C95,Codes!$J$8:$O$117,6,FALSE)&lt;&gt;"-",ISERROR(SEARCH(", "&amp;J95&amp;",",", "&amp;VLOOKUP(C95,Codes!$J$8:$O$117,6,FALSE)&amp;","))),"Qualifier not in allowed list",IF(COUNTIF($M$5:$M$304,M95)&gt;1,"Duplicate name","OK")))))))))</f>
        <v/>
      </c>
      <c r="O95" s="10"/>
      <c r="P95" s="10"/>
      <c r="Q95" s="10"/>
    </row>
    <row r="96" spans="1:17" x14ac:dyDescent="0.25">
      <c r="A96" s="10"/>
      <c r="B96" s="10"/>
      <c r="C96" s="10"/>
      <c r="D96" s="15" t="str">
        <f>IF(C96="","",IFERROR(VLOOKUP(C96,Codes!$J$8:$O$117,2,FALSE),"Unknown type"))</f>
        <v/>
      </c>
      <c r="E96" s="10"/>
      <c r="F96" s="10"/>
      <c r="G96" s="10"/>
      <c r="H96" s="10"/>
      <c r="I96" s="10"/>
      <c r="J96" s="10"/>
      <c r="K96" s="16" t="str">
        <f>IF(C96="","",IFERROR(VLOOKUP(C96,Codes!$J$8:$O$117,6,FALSE),""))</f>
        <v/>
      </c>
      <c r="L96" s="10"/>
      <c r="M96" s="14" t="str">
        <f>IF(C96="","",LOWER(Codes!$B$4&amp;"-"&amp;G96&amp;IF(H96="","","-"&amp;H96)&amp;"-"&amp;C96&amp;"-"&amp;I96&amp;IF(J96="","","-"&amp;J96)&amp;"-"&amp;IF(L96="","01",TEXT(L96,"00"))))</f>
        <v/>
      </c>
      <c r="N96" s="15" t="str">
        <f>IF(C96="","",IF(ISNA(MATCH(C96,Codes!$J$8:$J$117,0)),"Unknown type code",IF(OR(G96="",I96=""),"Env and app required",IF(AND(VLOOKUP(C96,Codes!$J$8:$O$117,4,FALSE)="Global",H96&lt;&gt;""),"Global type: leave region blank",IF(AND(VLOOKUP(C96,Codes!$J$8:$O$117,4,FALSE)&lt;&gt;"Global",H96=""),"Region required",IF(AND(VLOOKUP(C96,Codes!$J$8:$O$117,5,FALSE)="Required",J96=""),"Qualifier required",IF(AND(VLOOKUP(C96,Codes!$J$8:$O$117,5,FALSE)="None",J96&lt;&gt;""),"This type takes no qualifier",IF(AND(J96&lt;&gt;"",VLOOKUP(C96,Codes!$J$8:$O$117,6,FALSE)&lt;&gt;"-",ISERROR(SEARCH(", "&amp;J96&amp;",",", "&amp;VLOOKUP(C96,Codes!$J$8:$O$117,6,FALSE)&amp;","))),"Qualifier not in allowed list",IF(COUNTIF($M$5:$M$304,M96)&gt;1,"Duplicate name","OK")))))))))</f>
        <v/>
      </c>
      <c r="O96" s="10"/>
      <c r="P96" s="10"/>
      <c r="Q96" s="10"/>
    </row>
    <row r="97" spans="1:17" x14ac:dyDescent="0.25">
      <c r="A97" s="10"/>
      <c r="B97" s="10"/>
      <c r="C97" s="10"/>
      <c r="D97" s="15" t="str">
        <f>IF(C97="","",IFERROR(VLOOKUP(C97,Codes!$J$8:$O$117,2,FALSE),"Unknown type"))</f>
        <v/>
      </c>
      <c r="E97" s="10"/>
      <c r="F97" s="10"/>
      <c r="G97" s="10"/>
      <c r="H97" s="10"/>
      <c r="I97" s="10"/>
      <c r="J97" s="10"/>
      <c r="K97" s="16" t="str">
        <f>IF(C97="","",IFERROR(VLOOKUP(C97,Codes!$J$8:$O$117,6,FALSE),""))</f>
        <v/>
      </c>
      <c r="L97" s="10"/>
      <c r="M97" s="14" t="str">
        <f>IF(C97="","",LOWER(Codes!$B$4&amp;"-"&amp;G97&amp;IF(H97="","","-"&amp;H97)&amp;"-"&amp;C97&amp;"-"&amp;I97&amp;IF(J97="","","-"&amp;J97)&amp;"-"&amp;IF(L97="","01",TEXT(L97,"00"))))</f>
        <v/>
      </c>
      <c r="N97" s="15" t="str">
        <f>IF(C97="","",IF(ISNA(MATCH(C97,Codes!$J$8:$J$117,0)),"Unknown type code",IF(OR(G97="",I97=""),"Env and app required",IF(AND(VLOOKUP(C97,Codes!$J$8:$O$117,4,FALSE)="Global",H97&lt;&gt;""),"Global type: leave region blank",IF(AND(VLOOKUP(C97,Codes!$J$8:$O$117,4,FALSE)&lt;&gt;"Global",H97=""),"Region required",IF(AND(VLOOKUP(C97,Codes!$J$8:$O$117,5,FALSE)="Required",J97=""),"Qualifier required",IF(AND(VLOOKUP(C97,Codes!$J$8:$O$117,5,FALSE)="None",J97&lt;&gt;""),"This type takes no qualifier",IF(AND(J97&lt;&gt;"",VLOOKUP(C97,Codes!$J$8:$O$117,6,FALSE)&lt;&gt;"-",ISERROR(SEARCH(", "&amp;J97&amp;",",", "&amp;VLOOKUP(C97,Codes!$J$8:$O$117,6,FALSE)&amp;","))),"Qualifier not in allowed list",IF(COUNTIF($M$5:$M$304,M97)&gt;1,"Duplicate name","OK")))))))))</f>
        <v/>
      </c>
      <c r="O97" s="10"/>
      <c r="P97" s="10"/>
      <c r="Q97" s="10"/>
    </row>
    <row r="98" spans="1:17" x14ac:dyDescent="0.25">
      <c r="A98" s="10"/>
      <c r="B98" s="10"/>
      <c r="C98" s="10"/>
      <c r="D98" s="15" t="str">
        <f>IF(C98="","",IFERROR(VLOOKUP(C98,Codes!$J$8:$O$117,2,FALSE),"Unknown type"))</f>
        <v/>
      </c>
      <c r="E98" s="10"/>
      <c r="F98" s="10"/>
      <c r="G98" s="10"/>
      <c r="H98" s="10"/>
      <c r="I98" s="10"/>
      <c r="J98" s="10"/>
      <c r="K98" s="16" t="str">
        <f>IF(C98="","",IFERROR(VLOOKUP(C98,Codes!$J$8:$O$117,6,FALSE),""))</f>
        <v/>
      </c>
      <c r="L98" s="10"/>
      <c r="M98" s="14" t="str">
        <f>IF(C98="","",LOWER(Codes!$B$4&amp;"-"&amp;G98&amp;IF(H98="","","-"&amp;H98)&amp;"-"&amp;C98&amp;"-"&amp;I98&amp;IF(J98="","","-"&amp;J98)&amp;"-"&amp;IF(L98="","01",TEXT(L98,"00"))))</f>
        <v/>
      </c>
      <c r="N98" s="15" t="str">
        <f>IF(C98="","",IF(ISNA(MATCH(C98,Codes!$J$8:$J$117,0)),"Unknown type code",IF(OR(G98="",I98=""),"Env and app required",IF(AND(VLOOKUP(C98,Codes!$J$8:$O$117,4,FALSE)="Global",H98&lt;&gt;""),"Global type: leave region blank",IF(AND(VLOOKUP(C98,Codes!$J$8:$O$117,4,FALSE)&lt;&gt;"Global",H98=""),"Region required",IF(AND(VLOOKUP(C98,Codes!$J$8:$O$117,5,FALSE)="Required",J98=""),"Qualifier required",IF(AND(VLOOKUP(C98,Codes!$J$8:$O$117,5,FALSE)="None",J98&lt;&gt;""),"This type takes no qualifier",IF(AND(J98&lt;&gt;"",VLOOKUP(C98,Codes!$J$8:$O$117,6,FALSE)&lt;&gt;"-",ISERROR(SEARCH(", "&amp;J98&amp;",",", "&amp;VLOOKUP(C98,Codes!$J$8:$O$117,6,FALSE)&amp;","))),"Qualifier not in allowed list",IF(COUNTIF($M$5:$M$304,M98)&gt;1,"Duplicate name","OK")))))))))</f>
        <v/>
      </c>
      <c r="O98" s="10"/>
      <c r="P98" s="10"/>
      <c r="Q98" s="10"/>
    </row>
    <row r="99" spans="1:17" x14ac:dyDescent="0.25">
      <c r="A99" s="10"/>
      <c r="B99" s="10"/>
      <c r="C99" s="10"/>
      <c r="D99" s="15" t="str">
        <f>IF(C99="","",IFERROR(VLOOKUP(C99,Codes!$J$8:$O$117,2,FALSE),"Unknown type"))</f>
        <v/>
      </c>
      <c r="E99" s="10"/>
      <c r="F99" s="10"/>
      <c r="G99" s="10"/>
      <c r="H99" s="10"/>
      <c r="I99" s="10"/>
      <c r="J99" s="10"/>
      <c r="K99" s="16" t="str">
        <f>IF(C99="","",IFERROR(VLOOKUP(C99,Codes!$J$8:$O$117,6,FALSE),""))</f>
        <v/>
      </c>
      <c r="L99" s="10"/>
      <c r="M99" s="14" t="str">
        <f>IF(C99="","",LOWER(Codes!$B$4&amp;"-"&amp;G99&amp;IF(H99="","","-"&amp;H99)&amp;"-"&amp;C99&amp;"-"&amp;I99&amp;IF(J99="","","-"&amp;J99)&amp;"-"&amp;IF(L99="","01",TEXT(L99,"00"))))</f>
        <v/>
      </c>
      <c r="N99" s="15" t="str">
        <f>IF(C99="","",IF(ISNA(MATCH(C99,Codes!$J$8:$J$117,0)),"Unknown type code",IF(OR(G99="",I99=""),"Env and app required",IF(AND(VLOOKUP(C99,Codes!$J$8:$O$117,4,FALSE)="Global",H99&lt;&gt;""),"Global type: leave region blank",IF(AND(VLOOKUP(C99,Codes!$J$8:$O$117,4,FALSE)&lt;&gt;"Global",H99=""),"Region required",IF(AND(VLOOKUP(C99,Codes!$J$8:$O$117,5,FALSE)="Required",J99=""),"Qualifier required",IF(AND(VLOOKUP(C99,Codes!$J$8:$O$117,5,FALSE)="None",J99&lt;&gt;""),"This type takes no qualifier",IF(AND(J99&lt;&gt;"",VLOOKUP(C99,Codes!$J$8:$O$117,6,FALSE)&lt;&gt;"-",ISERROR(SEARCH(", "&amp;J99&amp;",",", "&amp;VLOOKUP(C99,Codes!$J$8:$O$117,6,FALSE)&amp;","))),"Qualifier not in allowed list",IF(COUNTIF($M$5:$M$304,M99)&gt;1,"Duplicate name","OK")))))))))</f>
        <v/>
      </c>
      <c r="O99" s="10"/>
      <c r="P99" s="10"/>
      <c r="Q99" s="10"/>
    </row>
    <row r="100" spans="1:17" x14ac:dyDescent="0.25">
      <c r="A100" s="10"/>
      <c r="B100" s="10"/>
      <c r="C100" s="10"/>
      <c r="D100" s="15" t="str">
        <f>IF(C100="","",IFERROR(VLOOKUP(C100,Codes!$J$8:$O$117,2,FALSE),"Unknown type"))</f>
        <v/>
      </c>
      <c r="E100" s="10"/>
      <c r="F100" s="10"/>
      <c r="G100" s="10"/>
      <c r="H100" s="10"/>
      <c r="I100" s="10"/>
      <c r="J100" s="10"/>
      <c r="K100" s="16" t="str">
        <f>IF(C100="","",IFERROR(VLOOKUP(C100,Codes!$J$8:$O$117,6,FALSE),""))</f>
        <v/>
      </c>
      <c r="L100" s="10"/>
      <c r="M100" s="14" t="str">
        <f>IF(C100="","",LOWER(Codes!$B$4&amp;"-"&amp;G100&amp;IF(H100="","","-"&amp;H100)&amp;"-"&amp;C100&amp;"-"&amp;I100&amp;IF(J100="","","-"&amp;J100)&amp;"-"&amp;IF(L100="","01",TEXT(L100,"00"))))</f>
        <v/>
      </c>
      <c r="N100" s="15" t="str">
        <f>IF(C100="","",IF(ISNA(MATCH(C100,Codes!$J$8:$J$117,0)),"Unknown type code",IF(OR(G100="",I100=""),"Env and app required",IF(AND(VLOOKUP(C100,Codes!$J$8:$O$117,4,FALSE)="Global",H100&lt;&gt;""),"Global type: leave region blank",IF(AND(VLOOKUP(C100,Codes!$J$8:$O$117,4,FALSE)&lt;&gt;"Global",H100=""),"Region required",IF(AND(VLOOKUP(C100,Codes!$J$8:$O$117,5,FALSE)="Required",J100=""),"Qualifier required",IF(AND(VLOOKUP(C100,Codes!$J$8:$O$117,5,FALSE)="None",J100&lt;&gt;""),"This type takes no qualifier",IF(AND(J100&lt;&gt;"",VLOOKUP(C100,Codes!$J$8:$O$117,6,FALSE)&lt;&gt;"-",ISERROR(SEARCH(", "&amp;J100&amp;",",", "&amp;VLOOKUP(C100,Codes!$J$8:$O$117,6,FALSE)&amp;","))),"Qualifier not in allowed list",IF(COUNTIF($M$5:$M$304,M100)&gt;1,"Duplicate name","OK")))))))))</f>
        <v/>
      </c>
      <c r="O100" s="10"/>
      <c r="P100" s="10"/>
      <c r="Q100" s="10"/>
    </row>
    <row r="101" spans="1:17" x14ac:dyDescent="0.25">
      <c r="A101" s="10"/>
      <c r="B101" s="10"/>
      <c r="C101" s="10"/>
      <c r="D101" s="15" t="str">
        <f>IF(C101="","",IFERROR(VLOOKUP(C101,Codes!$J$8:$O$117,2,FALSE),"Unknown type"))</f>
        <v/>
      </c>
      <c r="E101" s="10"/>
      <c r="F101" s="10"/>
      <c r="G101" s="10"/>
      <c r="H101" s="10"/>
      <c r="I101" s="10"/>
      <c r="J101" s="10"/>
      <c r="K101" s="16" t="str">
        <f>IF(C101="","",IFERROR(VLOOKUP(C101,Codes!$J$8:$O$117,6,FALSE),""))</f>
        <v/>
      </c>
      <c r="L101" s="10"/>
      <c r="M101" s="14" t="str">
        <f>IF(C101="","",LOWER(Codes!$B$4&amp;"-"&amp;G101&amp;IF(H101="","","-"&amp;H101)&amp;"-"&amp;C101&amp;"-"&amp;I101&amp;IF(J101="","","-"&amp;J101)&amp;"-"&amp;IF(L101="","01",TEXT(L101,"00"))))</f>
        <v/>
      </c>
      <c r="N101" s="15" t="str">
        <f>IF(C101="","",IF(ISNA(MATCH(C101,Codes!$J$8:$J$117,0)),"Unknown type code",IF(OR(G101="",I101=""),"Env and app required",IF(AND(VLOOKUP(C101,Codes!$J$8:$O$117,4,FALSE)="Global",H101&lt;&gt;""),"Global type: leave region blank",IF(AND(VLOOKUP(C101,Codes!$J$8:$O$117,4,FALSE)&lt;&gt;"Global",H101=""),"Region required",IF(AND(VLOOKUP(C101,Codes!$J$8:$O$117,5,FALSE)="Required",J101=""),"Qualifier required",IF(AND(VLOOKUP(C101,Codes!$J$8:$O$117,5,FALSE)="None",J101&lt;&gt;""),"This type takes no qualifier",IF(AND(J101&lt;&gt;"",VLOOKUP(C101,Codes!$J$8:$O$117,6,FALSE)&lt;&gt;"-",ISERROR(SEARCH(", "&amp;J101&amp;",",", "&amp;VLOOKUP(C101,Codes!$J$8:$O$117,6,FALSE)&amp;","))),"Qualifier not in allowed list",IF(COUNTIF($M$5:$M$304,M101)&gt;1,"Duplicate name","OK")))))))))</f>
        <v/>
      </c>
      <c r="O101" s="10"/>
      <c r="P101" s="10"/>
      <c r="Q101" s="10"/>
    </row>
    <row r="102" spans="1:17" x14ac:dyDescent="0.25">
      <c r="A102" s="10"/>
      <c r="B102" s="10"/>
      <c r="C102" s="10"/>
      <c r="D102" s="15" t="str">
        <f>IF(C102="","",IFERROR(VLOOKUP(C102,Codes!$J$8:$O$117,2,FALSE),"Unknown type"))</f>
        <v/>
      </c>
      <c r="E102" s="10"/>
      <c r="F102" s="10"/>
      <c r="G102" s="10"/>
      <c r="H102" s="10"/>
      <c r="I102" s="10"/>
      <c r="J102" s="10"/>
      <c r="K102" s="16" t="str">
        <f>IF(C102="","",IFERROR(VLOOKUP(C102,Codes!$J$8:$O$117,6,FALSE),""))</f>
        <v/>
      </c>
      <c r="L102" s="10"/>
      <c r="M102" s="14" t="str">
        <f>IF(C102="","",LOWER(Codes!$B$4&amp;"-"&amp;G102&amp;IF(H102="","","-"&amp;H102)&amp;"-"&amp;C102&amp;"-"&amp;I102&amp;IF(J102="","","-"&amp;J102)&amp;"-"&amp;IF(L102="","01",TEXT(L102,"00"))))</f>
        <v/>
      </c>
      <c r="N102" s="15" t="str">
        <f>IF(C102="","",IF(ISNA(MATCH(C102,Codes!$J$8:$J$117,0)),"Unknown type code",IF(OR(G102="",I102=""),"Env and app required",IF(AND(VLOOKUP(C102,Codes!$J$8:$O$117,4,FALSE)="Global",H102&lt;&gt;""),"Global type: leave region blank",IF(AND(VLOOKUP(C102,Codes!$J$8:$O$117,4,FALSE)&lt;&gt;"Global",H102=""),"Region required",IF(AND(VLOOKUP(C102,Codes!$J$8:$O$117,5,FALSE)="Required",J102=""),"Qualifier required",IF(AND(VLOOKUP(C102,Codes!$J$8:$O$117,5,FALSE)="None",J102&lt;&gt;""),"This type takes no qualifier",IF(AND(J102&lt;&gt;"",VLOOKUP(C102,Codes!$J$8:$O$117,6,FALSE)&lt;&gt;"-",ISERROR(SEARCH(", "&amp;J102&amp;",",", "&amp;VLOOKUP(C102,Codes!$J$8:$O$117,6,FALSE)&amp;","))),"Qualifier not in allowed list",IF(COUNTIF($M$5:$M$304,M102)&gt;1,"Duplicate name","OK")))))))))</f>
        <v/>
      </c>
      <c r="O102" s="10"/>
      <c r="P102" s="10"/>
      <c r="Q102" s="10"/>
    </row>
    <row r="103" spans="1:17" x14ac:dyDescent="0.25">
      <c r="A103" s="10"/>
      <c r="B103" s="10"/>
      <c r="C103" s="10"/>
      <c r="D103" s="15" t="str">
        <f>IF(C103="","",IFERROR(VLOOKUP(C103,Codes!$J$8:$O$117,2,FALSE),"Unknown type"))</f>
        <v/>
      </c>
      <c r="E103" s="10"/>
      <c r="F103" s="10"/>
      <c r="G103" s="10"/>
      <c r="H103" s="10"/>
      <c r="I103" s="10"/>
      <c r="J103" s="10"/>
      <c r="K103" s="16" t="str">
        <f>IF(C103="","",IFERROR(VLOOKUP(C103,Codes!$J$8:$O$117,6,FALSE),""))</f>
        <v/>
      </c>
      <c r="L103" s="10"/>
      <c r="M103" s="14" t="str">
        <f>IF(C103="","",LOWER(Codes!$B$4&amp;"-"&amp;G103&amp;IF(H103="","","-"&amp;H103)&amp;"-"&amp;C103&amp;"-"&amp;I103&amp;IF(J103="","","-"&amp;J103)&amp;"-"&amp;IF(L103="","01",TEXT(L103,"00"))))</f>
        <v/>
      </c>
      <c r="N103" s="15" t="str">
        <f>IF(C103="","",IF(ISNA(MATCH(C103,Codes!$J$8:$J$117,0)),"Unknown type code",IF(OR(G103="",I103=""),"Env and app required",IF(AND(VLOOKUP(C103,Codes!$J$8:$O$117,4,FALSE)="Global",H103&lt;&gt;""),"Global type: leave region blank",IF(AND(VLOOKUP(C103,Codes!$J$8:$O$117,4,FALSE)&lt;&gt;"Global",H103=""),"Region required",IF(AND(VLOOKUP(C103,Codes!$J$8:$O$117,5,FALSE)="Required",J103=""),"Qualifier required",IF(AND(VLOOKUP(C103,Codes!$J$8:$O$117,5,FALSE)="None",J103&lt;&gt;""),"This type takes no qualifier",IF(AND(J103&lt;&gt;"",VLOOKUP(C103,Codes!$J$8:$O$117,6,FALSE)&lt;&gt;"-",ISERROR(SEARCH(", "&amp;J103&amp;",",", "&amp;VLOOKUP(C103,Codes!$J$8:$O$117,6,FALSE)&amp;","))),"Qualifier not in allowed list",IF(COUNTIF($M$5:$M$304,M103)&gt;1,"Duplicate name","OK")))))))))</f>
        <v/>
      </c>
      <c r="O103" s="10"/>
      <c r="P103" s="10"/>
      <c r="Q103" s="10"/>
    </row>
    <row r="104" spans="1:17" x14ac:dyDescent="0.25">
      <c r="A104" s="10"/>
      <c r="B104" s="10"/>
      <c r="C104" s="10"/>
      <c r="D104" s="15" t="str">
        <f>IF(C104="","",IFERROR(VLOOKUP(C104,Codes!$J$8:$O$117,2,FALSE),"Unknown type"))</f>
        <v/>
      </c>
      <c r="E104" s="10"/>
      <c r="F104" s="10"/>
      <c r="G104" s="10"/>
      <c r="H104" s="10"/>
      <c r="I104" s="10"/>
      <c r="J104" s="10"/>
      <c r="K104" s="16" t="str">
        <f>IF(C104="","",IFERROR(VLOOKUP(C104,Codes!$J$8:$O$117,6,FALSE),""))</f>
        <v/>
      </c>
      <c r="L104" s="10"/>
      <c r="M104" s="14" t="str">
        <f>IF(C104="","",LOWER(Codes!$B$4&amp;"-"&amp;G104&amp;IF(H104="","","-"&amp;H104)&amp;"-"&amp;C104&amp;"-"&amp;I104&amp;IF(J104="","","-"&amp;J104)&amp;"-"&amp;IF(L104="","01",TEXT(L104,"00"))))</f>
        <v/>
      </c>
      <c r="N104" s="15" t="str">
        <f>IF(C104="","",IF(ISNA(MATCH(C104,Codes!$J$8:$J$117,0)),"Unknown type code",IF(OR(G104="",I104=""),"Env and app required",IF(AND(VLOOKUP(C104,Codes!$J$8:$O$117,4,FALSE)="Global",H104&lt;&gt;""),"Global type: leave region blank",IF(AND(VLOOKUP(C104,Codes!$J$8:$O$117,4,FALSE)&lt;&gt;"Global",H104=""),"Region required",IF(AND(VLOOKUP(C104,Codes!$J$8:$O$117,5,FALSE)="Required",J104=""),"Qualifier required",IF(AND(VLOOKUP(C104,Codes!$J$8:$O$117,5,FALSE)="None",J104&lt;&gt;""),"This type takes no qualifier",IF(AND(J104&lt;&gt;"",VLOOKUP(C104,Codes!$J$8:$O$117,6,FALSE)&lt;&gt;"-",ISERROR(SEARCH(", "&amp;J104&amp;",",", "&amp;VLOOKUP(C104,Codes!$J$8:$O$117,6,FALSE)&amp;","))),"Qualifier not in allowed list",IF(COUNTIF($M$5:$M$304,M104)&gt;1,"Duplicate name","OK")))))))))</f>
        <v/>
      </c>
      <c r="O104" s="10"/>
      <c r="P104" s="10"/>
      <c r="Q104" s="10"/>
    </row>
    <row r="105" spans="1:17" x14ac:dyDescent="0.25">
      <c r="A105" s="10"/>
      <c r="B105" s="10"/>
      <c r="C105" s="10"/>
      <c r="D105" s="15" t="str">
        <f>IF(C105="","",IFERROR(VLOOKUP(C105,Codes!$J$8:$O$117,2,FALSE),"Unknown type"))</f>
        <v/>
      </c>
      <c r="E105" s="10"/>
      <c r="F105" s="10"/>
      <c r="G105" s="10"/>
      <c r="H105" s="10"/>
      <c r="I105" s="10"/>
      <c r="J105" s="10"/>
      <c r="K105" s="16" t="str">
        <f>IF(C105="","",IFERROR(VLOOKUP(C105,Codes!$J$8:$O$117,6,FALSE),""))</f>
        <v/>
      </c>
      <c r="L105" s="10"/>
      <c r="M105" s="14" t="str">
        <f>IF(C105="","",LOWER(Codes!$B$4&amp;"-"&amp;G105&amp;IF(H105="","","-"&amp;H105)&amp;"-"&amp;C105&amp;"-"&amp;I105&amp;IF(J105="","","-"&amp;J105)&amp;"-"&amp;IF(L105="","01",TEXT(L105,"00"))))</f>
        <v/>
      </c>
      <c r="N105" s="15" t="str">
        <f>IF(C105="","",IF(ISNA(MATCH(C105,Codes!$J$8:$J$117,0)),"Unknown type code",IF(OR(G105="",I105=""),"Env and app required",IF(AND(VLOOKUP(C105,Codes!$J$8:$O$117,4,FALSE)="Global",H105&lt;&gt;""),"Global type: leave region blank",IF(AND(VLOOKUP(C105,Codes!$J$8:$O$117,4,FALSE)&lt;&gt;"Global",H105=""),"Region required",IF(AND(VLOOKUP(C105,Codes!$J$8:$O$117,5,FALSE)="Required",J105=""),"Qualifier required",IF(AND(VLOOKUP(C105,Codes!$J$8:$O$117,5,FALSE)="None",J105&lt;&gt;""),"This type takes no qualifier",IF(AND(J105&lt;&gt;"",VLOOKUP(C105,Codes!$J$8:$O$117,6,FALSE)&lt;&gt;"-",ISERROR(SEARCH(", "&amp;J105&amp;",",", "&amp;VLOOKUP(C105,Codes!$J$8:$O$117,6,FALSE)&amp;","))),"Qualifier not in allowed list",IF(COUNTIF($M$5:$M$304,M105)&gt;1,"Duplicate name","OK")))))))))</f>
        <v/>
      </c>
      <c r="O105" s="10"/>
      <c r="P105" s="10"/>
      <c r="Q105" s="10"/>
    </row>
    <row r="106" spans="1:17" x14ac:dyDescent="0.25">
      <c r="A106" s="10"/>
      <c r="B106" s="10"/>
      <c r="C106" s="10"/>
      <c r="D106" s="15" t="str">
        <f>IF(C106="","",IFERROR(VLOOKUP(C106,Codes!$J$8:$O$117,2,FALSE),"Unknown type"))</f>
        <v/>
      </c>
      <c r="E106" s="10"/>
      <c r="F106" s="10"/>
      <c r="G106" s="10"/>
      <c r="H106" s="10"/>
      <c r="I106" s="10"/>
      <c r="J106" s="10"/>
      <c r="K106" s="16" t="str">
        <f>IF(C106="","",IFERROR(VLOOKUP(C106,Codes!$J$8:$O$117,6,FALSE),""))</f>
        <v/>
      </c>
      <c r="L106" s="10"/>
      <c r="M106" s="14" t="str">
        <f>IF(C106="","",LOWER(Codes!$B$4&amp;"-"&amp;G106&amp;IF(H106="","","-"&amp;H106)&amp;"-"&amp;C106&amp;"-"&amp;I106&amp;IF(J106="","","-"&amp;J106)&amp;"-"&amp;IF(L106="","01",TEXT(L106,"00"))))</f>
        <v/>
      </c>
      <c r="N106" s="15" t="str">
        <f>IF(C106="","",IF(ISNA(MATCH(C106,Codes!$J$8:$J$117,0)),"Unknown type code",IF(OR(G106="",I106=""),"Env and app required",IF(AND(VLOOKUP(C106,Codes!$J$8:$O$117,4,FALSE)="Global",H106&lt;&gt;""),"Global type: leave region blank",IF(AND(VLOOKUP(C106,Codes!$J$8:$O$117,4,FALSE)&lt;&gt;"Global",H106=""),"Region required",IF(AND(VLOOKUP(C106,Codes!$J$8:$O$117,5,FALSE)="Required",J106=""),"Qualifier required",IF(AND(VLOOKUP(C106,Codes!$J$8:$O$117,5,FALSE)="None",J106&lt;&gt;""),"This type takes no qualifier",IF(AND(J106&lt;&gt;"",VLOOKUP(C106,Codes!$J$8:$O$117,6,FALSE)&lt;&gt;"-",ISERROR(SEARCH(", "&amp;J106&amp;",",", "&amp;VLOOKUP(C106,Codes!$J$8:$O$117,6,FALSE)&amp;","))),"Qualifier not in allowed list",IF(COUNTIF($M$5:$M$304,M106)&gt;1,"Duplicate name","OK")))))))))</f>
        <v/>
      </c>
      <c r="O106" s="10"/>
      <c r="P106" s="10"/>
      <c r="Q106" s="10"/>
    </row>
    <row r="107" spans="1:17" x14ac:dyDescent="0.25">
      <c r="A107" s="10"/>
      <c r="B107" s="10"/>
      <c r="C107" s="10"/>
      <c r="D107" s="15" t="str">
        <f>IF(C107="","",IFERROR(VLOOKUP(C107,Codes!$J$8:$O$117,2,FALSE),"Unknown type"))</f>
        <v/>
      </c>
      <c r="E107" s="10"/>
      <c r="F107" s="10"/>
      <c r="G107" s="10"/>
      <c r="H107" s="10"/>
      <c r="I107" s="10"/>
      <c r="J107" s="10"/>
      <c r="K107" s="16" t="str">
        <f>IF(C107="","",IFERROR(VLOOKUP(C107,Codes!$J$8:$O$117,6,FALSE),""))</f>
        <v/>
      </c>
      <c r="L107" s="10"/>
      <c r="M107" s="14" t="str">
        <f>IF(C107="","",LOWER(Codes!$B$4&amp;"-"&amp;G107&amp;IF(H107="","","-"&amp;H107)&amp;"-"&amp;C107&amp;"-"&amp;I107&amp;IF(J107="","","-"&amp;J107)&amp;"-"&amp;IF(L107="","01",TEXT(L107,"00"))))</f>
        <v/>
      </c>
      <c r="N107" s="15" t="str">
        <f>IF(C107="","",IF(ISNA(MATCH(C107,Codes!$J$8:$J$117,0)),"Unknown type code",IF(OR(G107="",I107=""),"Env and app required",IF(AND(VLOOKUP(C107,Codes!$J$8:$O$117,4,FALSE)="Global",H107&lt;&gt;""),"Global type: leave region blank",IF(AND(VLOOKUP(C107,Codes!$J$8:$O$117,4,FALSE)&lt;&gt;"Global",H107=""),"Region required",IF(AND(VLOOKUP(C107,Codes!$J$8:$O$117,5,FALSE)="Required",J107=""),"Qualifier required",IF(AND(VLOOKUP(C107,Codes!$J$8:$O$117,5,FALSE)="None",J107&lt;&gt;""),"This type takes no qualifier",IF(AND(J107&lt;&gt;"",VLOOKUP(C107,Codes!$J$8:$O$117,6,FALSE)&lt;&gt;"-",ISERROR(SEARCH(", "&amp;J107&amp;",",", "&amp;VLOOKUP(C107,Codes!$J$8:$O$117,6,FALSE)&amp;","))),"Qualifier not in allowed list",IF(COUNTIF($M$5:$M$304,M107)&gt;1,"Duplicate name","OK")))))))))</f>
        <v/>
      </c>
      <c r="O107" s="10"/>
      <c r="P107" s="10"/>
      <c r="Q107" s="10"/>
    </row>
    <row r="108" spans="1:17" x14ac:dyDescent="0.25">
      <c r="A108" s="10"/>
      <c r="B108" s="10"/>
      <c r="C108" s="10"/>
      <c r="D108" s="15" t="str">
        <f>IF(C108="","",IFERROR(VLOOKUP(C108,Codes!$J$8:$O$117,2,FALSE),"Unknown type"))</f>
        <v/>
      </c>
      <c r="E108" s="10"/>
      <c r="F108" s="10"/>
      <c r="G108" s="10"/>
      <c r="H108" s="10"/>
      <c r="I108" s="10"/>
      <c r="J108" s="10"/>
      <c r="K108" s="16" t="str">
        <f>IF(C108="","",IFERROR(VLOOKUP(C108,Codes!$J$8:$O$117,6,FALSE),""))</f>
        <v/>
      </c>
      <c r="L108" s="10"/>
      <c r="M108" s="14" t="str">
        <f>IF(C108="","",LOWER(Codes!$B$4&amp;"-"&amp;G108&amp;IF(H108="","","-"&amp;H108)&amp;"-"&amp;C108&amp;"-"&amp;I108&amp;IF(J108="","","-"&amp;J108)&amp;"-"&amp;IF(L108="","01",TEXT(L108,"00"))))</f>
        <v/>
      </c>
      <c r="N108" s="15" t="str">
        <f>IF(C108="","",IF(ISNA(MATCH(C108,Codes!$J$8:$J$117,0)),"Unknown type code",IF(OR(G108="",I108=""),"Env and app required",IF(AND(VLOOKUP(C108,Codes!$J$8:$O$117,4,FALSE)="Global",H108&lt;&gt;""),"Global type: leave region blank",IF(AND(VLOOKUP(C108,Codes!$J$8:$O$117,4,FALSE)&lt;&gt;"Global",H108=""),"Region required",IF(AND(VLOOKUP(C108,Codes!$J$8:$O$117,5,FALSE)="Required",J108=""),"Qualifier required",IF(AND(VLOOKUP(C108,Codes!$J$8:$O$117,5,FALSE)="None",J108&lt;&gt;""),"This type takes no qualifier",IF(AND(J108&lt;&gt;"",VLOOKUP(C108,Codes!$J$8:$O$117,6,FALSE)&lt;&gt;"-",ISERROR(SEARCH(", "&amp;J108&amp;",",", "&amp;VLOOKUP(C108,Codes!$J$8:$O$117,6,FALSE)&amp;","))),"Qualifier not in allowed list",IF(COUNTIF($M$5:$M$304,M108)&gt;1,"Duplicate name","OK")))))))))</f>
        <v/>
      </c>
      <c r="O108" s="10"/>
      <c r="P108" s="10"/>
      <c r="Q108" s="10"/>
    </row>
    <row r="109" spans="1:17" x14ac:dyDescent="0.25">
      <c r="A109" s="10"/>
      <c r="B109" s="10"/>
      <c r="C109" s="10"/>
      <c r="D109" s="15" t="str">
        <f>IF(C109="","",IFERROR(VLOOKUP(C109,Codes!$J$8:$O$117,2,FALSE),"Unknown type"))</f>
        <v/>
      </c>
      <c r="E109" s="10"/>
      <c r="F109" s="10"/>
      <c r="G109" s="10"/>
      <c r="H109" s="10"/>
      <c r="I109" s="10"/>
      <c r="J109" s="10"/>
      <c r="K109" s="16" t="str">
        <f>IF(C109="","",IFERROR(VLOOKUP(C109,Codes!$J$8:$O$117,6,FALSE),""))</f>
        <v/>
      </c>
      <c r="L109" s="10"/>
      <c r="M109" s="14" t="str">
        <f>IF(C109="","",LOWER(Codes!$B$4&amp;"-"&amp;G109&amp;IF(H109="","","-"&amp;H109)&amp;"-"&amp;C109&amp;"-"&amp;I109&amp;IF(J109="","","-"&amp;J109)&amp;"-"&amp;IF(L109="","01",TEXT(L109,"00"))))</f>
        <v/>
      </c>
      <c r="N109" s="15" t="str">
        <f>IF(C109="","",IF(ISNA(MATCH(C109,Codes!$J$8:$J$117,0)),"Unknown type code",IF(OR(G109="",I109=""),"Env and app required",IF(AND(VLOOKUP(C109,Codes!$J$8:$O$117,4,FALSE)="Global",H109&lt;&gt;""),"Global type: leave region blank",IF(AND(VLOOKUP(C109,Codes!$J$8:$O$117,4,FALSE)&lt;&gt;"Global",H109=""),"Region required",IF(AND(VLOOKUP(C109,Codes!$J$8:$O$117,5,FALSE)="Required",J109=""),"Qualifier required",IF(AND(VLOOKUP(C109,Codes!$J$8:$O$117,5,FALSE)="None",J109&lt;&gt;""),"This type takes no qualifier",IF(AND(J109&lt;&gt;"",VLOOKUP(C109,Codes!$J$8:$O$117,6,FALSE)&lt;&gt;"-",ISERROR(SEARCH(", "&amp;J109&amp;",",", "&amp;VLOOKUP(C109,Codes!$J$8:$O$117,6,FALSE)&amp;","))),"Qualifier not in allowed list",IF(COUNTIF($M$5:$M$304,M109)&gt;1,"Duplicate name","OK")))))))))</f>
        <v/>
      </c>
      <c r="O109" s="10"/>
      <c r="P109" s="10"/>
      <c r="Q109" s="10"/>
    </row>
    <row r="110" spans="1:17" x14ac:dyDescent="0.25">
      <c r="A110" s="10"/>
      <c r="B110" s="10"/>
      <c r="C110" s="10"/>
      <c r="D110" s="15" t="str">
        <f>IF(C110="","",IFERROR(VLOOKUP(C110,Codes!$J$8:$O$117,2,FALSE),"Unknown type"))</f>
        <v/>
      </c>
      <c r="E110" s="10"/>
      <c r="F110" s="10"/>
      <c r="G110" s="10"/>
      <c r="H110" s="10"/>
      <c r="I110" s="10"/>
      <c r="J110" s="10"/>
      <c r="K110" s="16" t="str">
        <f>IF(C110="","",IFERROR(VLOOKUP(C110,Codes!$J$8:$O$117,6,FALSE),""))</f>
        <v/>
      </c>
      <c r="L110" s="10"/>
      <c r="M110" s="14" t="str">
        <f>IF(C110="","",LOWER(Codes!$B$4&amp;"-"&amp;G110&amp;IF(H110="","","-"&amp;H110)&amp;"-"&amp;C110&amp;"-"&amp;I110&amp;IF(J110="","","-"&amp;J110)&amp;"-"&amp;IF(L110="","01",TEXT(L110,"00"))))</f>
        <v/>
      </c>
      <c r="N110" s="15" t="str">
        <f>IF(C110="","",IF(ISNA(MATCH(C110,Codes!$J$8:$J$117,0)),"Unknown type code",IF(OR(G110="",I110=""),"Env and app required",IF(AND(VLOOKUP(C110,Codes!$J$8:$O$117,4,FALSE)="Global",H110&lt;&gt;""),"Global type: leave region blank",IF(AND(VLOOKUP(C110,Codes!$J$8:$O$117,4,FALSE)&lt;&gt;"Global",H110=""),"Region required",IF(AND(VLOOKUP(C110,Codes!$J$8:$O$117,5,FALSE)="Required",J110=""),"Qualifier required",IF(AND(VLOOKUP(C110,Codes!$J$8:$O$117,5,FALSE)="None",J110&lt;&gt;""),"This type takes no qualifier",IF(AND(J110&lt;&gt;"",VLOOKUP(C110,Codes!$J$8:$O$117,6,FALSE)&lt;&gt;"-",ISERROR(SEARCH(", "&amp;J110&amp;",",", "&amp;VLOOKUP(C110,Codes!$J$8:$O$117,6,FALSE)&amp;","))),"Qualifier not in allowed list",IF(COUNTIF($M$5:$M$304,M110)&gt;1,"Duplicate name","OK")))))))))</f>
        <v/>
      </c>
      <c r="O110" s="10"/>
      <c r="P110" s="10"/>
      <c r="Q110" s="10"/>
    </row>
    <row r="111" spans="1:17" x14ac:dyDescent="0.25">
      <c r="A111" s="10"/>
      <c r="B111" s="10"/>
      <c r="C111" s="10"/>
      <c r="D111" s="15" t="str">
        <f>IF(C111="","",IFERROR(VLOOKUP(C111,Codes!$J$8:$O$117,2,FALSE),"Unknown type"))</f>
        <v/>
      </c>
      <c r="E111" s="10"/>
      <c r="F111" s="10"/>
      <c r="G111" s="10"/>
      <c r="H111" s="10"/>
      <c r="I111" s="10"/>
      <c r="J111" s="10"/>
      <c r="K111" s="16" t="str">
        <f>IF(C111="","",IFERROR(VLOOKUP(C111,Codes!$J$8:$O$117,6,FALSE),""))</f>
        <v/>
      </c>
      <c r="L111" s="10"/>
      <c r="M111" s="14" t="str">
        <f>IF(C111="","",LOWER(Codes!$B$4&amp;"-"&amp;G111&amp;IF(H111="","","-"&amp;H111)&amp;"-"&amp;C111&amp;"-"&amp;I111&amp;IF(J111="","","-"&amp;J111)&amp;"-"&amp;IF(L111="","01",TEXT(L111,"00"))))</f>
        <v/>
      </c>
      <c r="N111" s="15" t="str">
        <f>IF(C111="","",IF(ISNA(MATCH(C111,Codes!$J$8:$J$117,0)),"Unknown type code",IF(OR(G111="",I111=""),"Env and app required",IF(AND(VLOOKUP(C111,Codes!$J$8:$O$117,4,FALSE)="Global",H111&lt;&gt;""),"Global type: leave region blank",IF(AND(VLOOKUP(C111,Codes!$J$8:$O$117,4,FALSE)&lt;&gt;"Global",H111=""),"Region required",IF(AND(VLOOKUP(C111,Codes!$J$8:$O$117,5,FALSE)="Required",J111=""),"Qualifier required",IF(AND(VLOOKUP(C111,Codes!$J$8:$O$117,5,FALSE)="None",J111&lt;&gt;""),"This type takes no qualifier",IF(AND(J111&lt;&gt;"",VLOOKUP(C111,Codes!$J$8:$O$117,6,FALSE)&lt;&gt;"-",ISERROR(SEARCH(", "&amp;J111&amp;",",", "&amp;VLOOKUP(C111,Codes!$J$8:$O$117,6,FALSE)&amp;","))),"Qualifier not in allowed list",IF(COUNTIF($M$5:$M$304,M111)&gt;1,"Duplicate name","OK")))))))))</f>
        <v/>
      </c>
      <c r="O111" s="10"/>
      <c r="P111" s="10"/>
      <c r="Q111" s="10"/>
    </row>
    <row r="112" spans="1:17" x14ac:dyDescent="0.25">
      <c r="A112" s="10"/>
      <c r="B112" s="10"/>
      <c r="C112" s="10"/>
      <c r="D112" s="15" t="str">
        <f>IF(C112="","",IFERROR(VLOOKUP(C112,Codes!$J$8:$O$117,2,FALSE),"Unknown type"))</f>
        <v/>
      </c>
      <c r="E112" s="10"/>
      <c r="F112" s="10"/>
      <c r="G112" s="10"/>
      <c r="H112" s="10"/>
      <c r="I112" s="10"/>
      <c r="J112" s="10"/>
      <c r="K112" s="16" t="str">
        <f>IF(C112="","",IFERROR(VLOOKUP(C112,Codes!$J$8:$O$117,6,FALSE),""))</f>
        <v/>
      </c>
      <c r="L112" s="10"/>
      <c r="M112" s="14" t="str">
        <f>IF(C112="","",LOWER(Codes!$B$4&amp;"-"&amp;G112&amp;IF(H112="","","-"&amp;H112)&amp;"-"&amp;C112&amp;"-"&amp;I112&amp;IF(J112="","","-"&amp;J112)&amp;"-"&amp;IF(L112="","01",TEXT(L112,"00"))))</f>
        <v/>
      </c>
      <c r="N112" s="15" t="str">
        <f>IF(C112="","",IF(ISNA(MATCH(C112,Codes!$J$8:$J$117,0)),"Unknown type code",IF(OR(G112="",I112=""),"Env and app required",IF(AND(VLOOKUP(C112,Codes!$J$8:$O$117,4,FALSE)="Global",H112&lt;&gt;""),"Global type: leave region blank",IF(AND(VLOOKUP(C112,Codes!$J$8:$O$117,4,FALSE)&lt;&gt;"Global",H112=""),"Region required",IF(AND(VLOOKUP(C112,Codes!$J$8:$O$117,5,FALSE)="Required",J112=""),"Qualifier required",IF(AND(VLOOKUP(C112,Codes!$J$8:$O$117,5,FALSE)="None",J112&lt;&gt;""),"This type takes no qualifier",IF(AND(J112&lt;&gt;"",VLOOKUP(C112,Codes!$J$8:$O$117,6,FALSE)&lt;&gt;"-",ISERROR(SEARCH(", "&amp;J112&amp;",",", "&amp;VLOOKUP(C112,Codes!$J$8:$O$117,6,FALSE)&amp;","))),"Qualifier not in allowed list",IF(COUNTIF($M$5:$M$304,M112)&gt;1,"Duplicate name","OK")))))))))</f>
        <v/>
      </c>
      <c r="O112" s="10"/>
      <c r="P112" s="10"/>
      <c r="Q112" s="10"/>
    </row>
    <row r="113" spans="1:17" x14ac:dyDescent="0.25">
      <c r="A113" s="10"/>
      <c r="B113" s="10"/>
      <c r="C113" s="10"/>
      <c r="D113" s="15" t="str">
        <f>IF(C113="","",IFERROR(VLOOKUP(C113,Codes!$J$8:$O$117,2,FALSE),"Unknown type"))</f>
        <v/>
      </c>
      <c r="E113" s="10"/>
      <c r="F113" s="10"/>
      <c r="G113" s="10"/>
      <c r="H113" s="10"/>
      <c r="I113" s="10"/>
      <c r="J113" s="10"/>
      <c r="K113" s="16" t="str">
        <f>IF(C113="","",IFERROR(VLOOKUP(C113,Codes!$J$8:$O$117,6,FALSE),""))</f>
        <v/>
      </c>
      <c r="L113" s="10"/>
      <c r="M113" s="14" t="str">
        <f>IF(C113="","",LOWER(Codes!$B$4&amp;"-"&amp;G113&amp;IF(H113="","","-"&amp;H113)&amp;"-"&amp;C113&amp;"-"&amp;I113&amp;IF(J113="","","-"&amp;J113)&amp;"-"&amp;IF(L113="","01",TEXT(L113,"00"))))</f>
        <v/>
      </c>
      <c r="N113" s="15" t="str">
        <f>IF(C113="","",IF(ISNA(MATCH(C113,Codes!$J$8:$J$117,0)),"Unknown type code",IF(OR(G113="",I113=""),"Env and app required",IF(AND(VLOOKUP(C113,Codes!$J$8:$O$117,4,FALSE)="Global",H113&lt;&gt;""),"Global type: leave region blank",IF(AND(VLOOKUP(C113,Codes!$J$8:$O$117,4,FALSE)&lt;&gt;"Global",H113=""),"Region required",IF(AND(VLOOKUP(C113,Codes!$J$8:$O$117,5,FALSE)="Required",J113=""),"Qualifier required",IF(AND(VLOOKUP(C113,Codes!$J$8:$O$117,5,FALSE)="None",J113&lt;&gt;""),"This type takes no qualifier",IF(AND(J113&lt;&gt;"",VLOOKUP(C113,Codes!$J$8:$O$117,6,FALSE)&lt;&gt;"-",ISERROR(SEARCH(", "&amp;J113&amp;",",", "&amp;VLOOKUP(C113,Codes!$J$8:$O$117,6,FALSE)&amp;","))),"Qualifier not in allowed list",IF(COUNTIF($M$5:$M$304,M113)&gt;1,"Duplicate name","OK")))))))))</f>
        <v/>
      </c>
      <c r="O113" s="10"/>
      <c r="P113" s="10"/>
      <c r="Q113" s="10"/>
    </row>
    <row r="114" spans="1:17" x14ac:dyDescent="0.25">
      <c r="A114" s="10"/>
      <c r="B114" s="10"/>
      <c r="C114" s="10"/>
      <c r="D114" s="15" t="str">
        <f>IF(C114="","",IFERROR(VLOOKUP(C114,Codes!$J$8:$O$117,2,FALSE),"Unknown type"))</f>
        <v/>
      </c>
      <c r="E114" s="10"/>
      <c r="F114" s="10"/>
      <c r="G114" s="10"/>
      <c r="H114" s="10"/>
      <c r="I114" s="10"/>
      <c r="J114" s="10"/>
      <c r="K114" s="16" t="str">
        <f>IF(C114="","",IFERROR(VLOOKUP(C114,Codes!$J$8:$O$117,6,FALSE),""))</f>
        <v/>
      </c>
      <c r="L114" s="10"/>
      <c r="M114" s="14" t="str">
        <f>IF(C114="","",LOWER(Codes!$B$4&amp;"-"&amp;G114&amp;IF(H114="","","-"&amp;H114)&amp;"-"&amp;C114&amp;"-"&amp;I114&amp;IF(J114="","","-"&amp;J114)&amp;"-"&amp;IF(L114="","01",TEXT(L114,"00"))))</f>
        <v/>
      </c>
      <c r="N114" s="15" t="str">
        <f>IF(C114="","",IF(ISNA(MATCH(C114,Codes!$J$8:$J$117,0)),"Unknown type code",IF(OR(G114="",I114=""),"Env and app required",IF(AND(VLOOKUP(C114,Codes!$J$8:$O$117,4,FALSE)="Global",H114&lt;&gt;""),"Global type: leave region blank",IF(AND(VLOOKUP(C114,Codes!$J$8:$O$117,4,FALSE)&lt;&gt;"Global",H114=""),"Region required",IF(AND(VLOOKUP(C114,Codes!$J$8:$O$117,5,FALSE)="Required",J114=""),"Qualifier required",IF(AND(VLOOKUP(C114,Codes!$J$8:$O$117,5,FALSE)="None",J114&lt;&gt;""),"This type takes no qualifier",IF(AND(J114&lt;&gt;"",VLOOKUP(C114,Codes!$J$8:$O$117,6,FALSE)&lt;&gt;"-",ISERROR(SEARCH(", "&amp;J114&amp;",",", "&amp;VLOOKUP(C114,Codes!$J$8:$O$117,6,FALSE)&amp;","))),"Qualifier not in allowed list",IF(COUNTIF($M$5:$M$304,M114)&gt;1,"Duplicate name","OK")))))))))</f>
        <v/>
      </c>
      <c r="O114" s="10"/>
      <c r="P114" s="10"/>
      <c r="Q114" s="10"/>
    </row>
    <row r="115" spans="1:17" x14ac:dyDescent="0.25">
      <c r="A115" s="10"/>
      <c r="B115" s="10"/>
      <c r="C115" s="10"/>
      <c r="D115" s="15" t="str">
        <f>IF(C115="","",IFERROR(VLOOKUP(C115,Codes!$J$8:$O$117,2,FALSE),"Unknown type"))</f>
        <v/>
      </c>
      <c r="E115" s="10"/>
      <c r="F115" s="10"/>
      <c r="G115" s="10"/>
      <c r="H115" s="10"/>
      <c r="I115" s="10"/>
      <c r="J115" s="10"/>
      <c r="K115" s="16" t="str">
        <f>IF(C115="","",IFERROR(VLOOKUP(C115,Codes!$J$8:$O$117,6,FALSE),""))</f>
        <v/>
      </c>
      <c r="L115" s="10"/>
      <c r="M115" s="14" t="str">
        <f>IF(C115="","",LOWER(Codes!$B$4&amp;"-"&amp;G115&amp;IF(H115="","","-"&amp;H115)&amp;"-"&amp;C115&amp;"-"&amp;I115&amp;IF(J115="","","-"&amp;J115)&amp;"-"&amp;IF(L115="","01",TEXT(L115,"00"))))</f>
        <v/>
      </c>
      <c r="N115" s="15" t="str">
        <f>IF(C115="","",IF(ISNA(MATCH(C115,Codes!$J$8:$J$117,0)),"Unknown type code",IF(OR(G115="",I115=""),"Env and app required",IF(AND(VLOOKUP(C115,Codes!$J$8:$O$117,4,FALSE)="Global",H115&lt;&gt;""),"Global type: leave region blank",IF(AND(VLOOKUP(C115,Codes!$J$8:$O$117,4,FALSE)&lt;&gt;"Global",H115=""),"Region required",IF(AND(VLOOKUP(C115,Codes!$J$8:$O$117,5,FALSE)="Required",J115=""),"Qualifier required",IF(AND(VLOOKUP(C115,Codes!$J$8:$O$117,5,FALSE)="None",J115&lt;&gt;""),"This type takes no qualifier",IF(AND(J115&lt;&gt;"",VLOOKUP(C115,Codes!$J$8:$O$117,6,FALSE)&lt;&gt;"-",ISERROR(SEARCH(", "&amp;J115&amp;",",", "&amp;VLOOKUP(C115,Codes!$J$8:$O$117,6,FALSE)&amp;","))),"Qualifier not in allowed list",IF(COUNTIF($M$5:$M$304,M115)&gt;1,"Duplicate name","OK")))))))))</f>
        <v/>
      </c>
      <c r="O115" s="10"/>
      <c r="P115" s="10"/>
      <c r="Q115" s="10"/>
    </row>
    <row r="116" spans="1:17" x14ac:dyDescent="0.25">
      <c r="A116" s="10"/>
      <c r="B116" s="10"/>
      <c r="C116" s="10"/>
      <c r="D116" s="15" t="str">
        <f>IF(C116="","",IFERROR(VLOOKUP(C116,Codes!$J$8:$O$117,2,FALSE),"Unknown type"))</f>
        <v/>
      </c>
      <c r="E116" s="10"/>
      <c r="F116" s="10"/>
      <c r="G116" s="10"/>
      <c r="H116" s="10"/>
      <c r="I116" s="10"/>
      <c r="J116" s="10"/>
      <c r="K116" s="16" t="str">
        <f>IF(C116="","",IFERROR(VLOOKUP(C116,Codes!$J$8:$O$117,6,FALSE),""))</f>
        <v/>
      </c>
      <c r="L116" s="10"/>
      <c r="M116" s="14" t="str">
        <f>IF(C116="","",LOWER(Codes!$B$4&amp;"-"&amp;G116&amp;IF(H116="","","-"&amp;H116)&amp;"-"&amp;C116&amp;"-"&amp;I116&amp;IF(J116="","","-"&amp;J116)&amp;"-"&amp;IF(L116="","01",TEXT(L116,"00"))))</f>
        <v/>
      </c>
      <c r="N116" s="15" t="str">
        <f>IF(C116="","",IF(ISNA(MATCH(C116,Codes!$J$8:$J$117,0)),"Unknown type code",IF(OR(G116="",I116=""),"Env and app required",IF(AND(VLOOKUP(C116,Codes!$J$8:$O$117,4,FALSE)="Global",H116&lt;&gt;""),"Global type: leave region blank",IF(AND(VLOOKUP(C116,Codes!$J$8:$O$117,4,FALSE)&lt;&gt;"Global",H116=""),"Region required",IF(AND(VLOOKUP(C116,Codes!$J$8:$O$117,5,FALSE)="Required",J116=""),"Qualifier required",IF(AND(VLOOKUP(C116,Codes!$J$8:$O$117,5,FALSE)="None",J116&lt;&gt;""),"This type takes no qualifier",IF(AND(J116&lt;&gt;"",VLOOKUP(C116,Codes!$J$8:$O$117,6,FALSE)&lt;&gt;"-",ISERROR(SEARCH(", "&amp;J116&amp;",",", "&amp;VLOOKUP(C116,Codes!$J$8:$O$117,6,FALSE)&amp;","))),"Qualifier not in allowed list",IF(COUNTIF($M$5:$M$304,M116)&gt;1,"Duplicate name","OK")))))))))</f>
        <v/>
      </c>
      <c r="O116" s="10"/>
      <c r="P116" s="10"/>
      <c r="Q116" s="10"/>
    </row>
    <row r="117" spans="1:17" x14ac:dyDescent="0.25">
      <c r="A117" s="10"/>
      <c r="B117" s="10"/>
      <c r="C117" s="10"/>
      <c r="D117" s="15" t="str">
        <f>IF(C117="","",IFERROR(VLOOKUP(C117,Codes!$J$8:$O$117,2,FALSE),"Unknown type"))</f>
        <v/>
      </c>
      <c r="E117" s="10"/>
      <c r="F117" s="10"/>
      <c r="G117" s="10"/>
      <c r="H117" s="10"/>
      <c r="I117" s="10"/>
      <c r="J117" s="10"/>
      <c r="K117" s="16" t="str">
        <f>IF(C117="","",IFERROR(VLOOKUP(C117,Codes!$J$8:$O$117,6,FALSE),""))</f>
        <v/>
      </c>
      <c r="L117" s="10"/>
      <c r="M117" s="14" t="str">
        <f>IF(C117="","",LOWER(Codes!$B$4&amp;"-"&amp;G117&amp;IF(H117="","","-"&amp;H117)&amp;"-"&amp;C117&amp;"-"&amp;I117&amp;IF(J117="","","-"&amp;J117)&amp;"-"&amp;IF(L117="","01",TEXT(L117,"00"))))</f>
        <v/>
      </c>
      <c r="N117" s="15" t="str">
        <f>IF(C117="","",IF(ISNA(MATCH(C117,Codes!$J$8:$J$117,0)),"Unknown type code",IF(OR(G117="",I117=""),"Env and app required",IF(AND(VLOOKUP(C117,Codes!$J$8:$O$117,4,FALSE)="Global",H117&lt;&gt;""),"Global type: leave region blank",IF(AND(VLOOKUP(C117,Codes!$J$8:$O$117,4,FALSE)&lt;&gt;"Global",H117=""),"Region required",IF(AND(VLOOKUP(C117,Codes!$J$8:$O$117,5,FALSE)="Required",J117=""),"Qualifier required",IF(AND(VLOOKUP(C117,Codes!$J$8:$O$117,5,FALSE)="None",J117&lt;&gt;""),"This type takes no qualifier",IF(AND(J117&lt;&gt;"",VLOOKUP(C117,Codes!$J$8:$O$117,6,FALSE)&lt;&gt;"-",ISERROR(SEARCH(", "&amp;J117&amp;",",", "&amp;VLOOKUP(C117,Codes!$J$8:$O$117,6,FALSE)&amp;","))),"Qualifier not in allowed list",IF(COUNTIF($M$5:$M$304,M117)&gt;1,"Duplicate name","OK")))))))))</f>
        <v/>
      </c>
      <c r="O117" s="10"/>
      <c r="P117" s="10"/>
      <c r="Q117" s="10"/>
    </row>
    <row r="118" spans="1:17" x14ac:dyDescent="0.25">
      <c r="A118" s="10"/>
      <c r="B118" s="10"/>
      <c r="C118" s="10"/>
      <c r="D118" s="15" t="str">
        <f>IF(C118="","",IFERROR(VLOOKUP(C118,Codes!$J$8:$O$117,2,FALSE),"Unknown type"))</f>
        <v/>
      </c>
      <c r="E118" s="10"/>
      <c r="F118" s="10"/>
      <c r="G118" s="10"/>
      <c r="H118" s="10"/>
      <c r="I118" s="10"/>
      <c r="J118" s="10"/>
      <c r="K118" s="16" t="str">
        <f>IF(C118="","",IFERROR(VLOOKUP(C118,Codes!$J$8:$O$117,6,FALSE),""))</f>
        <v/>
      </c>
      <c r="L118" s="10"/>
      <c r="M118" s="14" t="str">
        <f>IF(C118="","",LOWER(Codes!$B$4&amp;"-"&amp;G118&amp;IF(H118="","","-"&amp;H118)&amp;"-"&amp;C118&amp;"-"&amp;I118&amp;IF(J118="","","-"&amp;J118)&amp;"-"&amp;IF(L118="","01",TEXT(L118,"00"))))</f>
        <v/>
      </c>
      <c r="N118" s="15" t="str">
        <f>IF(C118="","",IF(ISNA(MATCH(C118,Codes!$J$8:$J$117,0)),"Unknown type code",IF(OR(G118="",I118=""),"Env and app required",IF(AND(VLOOKUP(C118,Codes!$J$8:$O$117,4,FALSE)="Global",H118&lt;&gt;""),"Global type: leave region blank",IF(AND(VLOOKUP(C118,Codes!$J$8:$O$117,4,FALSE)&lt;&gt;"Global",H118=""),"Region required",IF(AND(VLOOKUP(C118,Codes!$J$8:$O$117,5,FALSE)="Required",J118=""),"Qualifier required",IF(AND(VLOOKUP(C118,Codes!$J$8:$O$117,5,FALSE)="None",J118&lt;&gt;""),"This type takes no qualifier",IF(AND(J118&lt;&gt;"",VLOOKUP(C118,Codes!$J$8:$O$117,6,FALSE)&lt;&gt;"-",ISERROR(SEARCH(", "&amp;J118&amp;",",", "&amp;VLOOKUP(C118,Codes!$J$8:$O$117,6,FALSE)&amp;","))),"Qualifier not in allowed list",IF(COUNTIF($M$5:$M$304,M118)&gt;1,"Duplicate name","OK")))))))))</f>
        <v/>
      </c>
      <c r="O118" s="10"/>
      <c r="P118" s="10"/>
      <c r="Q118" s="10"/>
    </row>
    <row r="119" spans="1:17" x14ac:dyDescent="0.25">
      <c r="A119" s="10"/>
      <c r="B119" s="10"/>
      <c r="C119" s="10"/>
      <c r="D119" s="15" t="str">
        <f>IF(C119="","",IFERROR(VLOOKUP(C119,Codes!$J$8:$O$117,2,FALSE),"Unknown type"))</f>
        <v/>
      </c>
      <c r="E119" s="10"/>
      <c r="F119" s="10"/>
      <c r="G119" s="10"/>
      <c r="H119" s="10"/>
      <c r="I119" s="10"/>
      <c r="J119" s="10"/>
      <c r="K119" s="16" t="str">
        <f>IF(C119="","",IFERROR(VLOOKUP(C119,Codes!$J$8:$O$117,6,FALSE),""))</f>
        <v/>
      </c>
      <c r="L119" s="10"/>
      <c r="M119" s="14" t="str">
        <f>IF(C119="","",LOWER(Codes!$B$4&amp;"-"&amp;G119&amp;IF(H119="","","-"&amp;H119)&amp;"-"&amp;C119&amp;"-"&amp;I119&amp;IF(J119="","","-"&amp;J119)&amp;"-"&amp;IF(L119="","01",TEXT(L119,"00"))))</f>
        <v/>
      </c>
      <c r="N119" s="15" t="str">
        <f>IF(C119="","",IF(ISNA(MATCH(C119,Codes!$J$8:$J$117,0)),"Unknown type code",IF(OR(G119="",I119=""),"Env and app required",IF(AND(VLOOKUP(C119,Codes!$J$8:$O$117,4,FALSE)="Global",H119&lt;&gt;""),"Global type: leave region blank",IF(AND(VLOOKUP(C119,Codes!$J$8:$O$117,4,FALSE)&lt;&gt;"Global",H119=""),"Region required",IF(AND(VLOOKUP(C119,Codes!$J$8:$O$117,5,FALSE)="Required",J119=""),"Qualifier required",IF(AND(VLOOKUP(C119,Codes!$J$8:$O$117,5,FALSE)="None",J119&lt;&gt;""),"This type takes no qualifier",IF(AND(J119&lt;&gt;"",VLOOKUP(C119,Codes!$J$8:$O$117,6,FALSE)&lt;&gt;"-",ISERROR(SEARCH(", "&amp;J119&amp;",",", "&amp;VLOOKUP(C119,Codes!$J$8:$O$117,6,FALSE)&amp;","))),"Qualifier not in allowed list",IF(COUNTIF($M$5:$M$304,M119)&gt;1,"Duplicate name","OK")))))))))</f>
        <v/>
      </c>
      <c r="O119" s="10"/>
      <c r="P119" s="10"/>
      <c r="Q119" s="10"/>
    </row>
    <row r="120" spans="1:17" x14ac:dyDescent="0.25">
      <c r="A120" s="10"/>
      <c r="B120" s="10"/>
      <c r="C120" s="10"/>
      <c r="D120" s="15" t="str">
        <f>IF(C120="","",IFERROR(VLOOKUP(C120,Codes!$J$8:$O$117,2,FALSE),"Unknown type"))</f>
        <v/>
      </c>
      <c r="E120" s="10"/>
      <c r="F120" s="10"/>
      <c r="G120" s="10"/>
      <c r="H120" s="10"/>
      <c r="I120" s="10"/>
      <c r="J120" s="10"/>
      <c r="K120" s="16" t="str">
        <f>IF(C120="","",IFERROR(VLOOKUP(C120,Codes!$J$8:$O$117,6,FALSE),""))</f>
        <v/>
      </c>
      <c r="L120" s="10"/>
      <c r="M120" s="14" t="str">
        <f>IF(C120="","",LOWER(Codes!$B$4&amp;"-"&amp;G120&amp;IF(H120="","","-"&amp;H120)&amp;"-"&amp;C120&amp;"-"&amp;I120&amp;IF(J120="","","-"&amp;J120)&amp;"-"&amp;IF(L120="","01",TEXT(L120,"00"))))</f>
        <v/>
      </c>
      <c r="N120" s="15" t="str">
        <f>IF(C120="","",IF(ISNA(MATCH(C120,Codes!$J$8:$J$117,0)),"Unknown type code",IF(OR(G120="",I120=""),"Env and app required",IF(AND(VLOOKUP(C120,Codes!$J$8:$O$117,4,FALSE)="Global",H120&lt;&gt;""),"Global type: leave region blank",IF(AND(VLOOKUP(C120,Codes!$J$8:$O$117,4,FALSE)&lt;&gt;"Global",H120=""),"Region required",IF(AND(VLOOKUP(C120,Codes!$J$8:$O$117,5,FALSE)="Required",J120=""),"Qualifier required",IF(AND(VLOOKUP(C120,Codes!$J$8:$O$117,5,FALSE)="None",J120&lt;&gt;""),"This type takes no qualifier",IF(AND(J120&lt;&gt;"",VLOOKUP(C120,Codes!$J$8:$O$117,6,FALSE)&lt;&gt;"-",ISERROR(SEARCH(", "&amp;J120&amp;",",", "&amp;VLOOKUP(C120,Codes!$J$8:$O$117,6,FALSE)&amp;","))),"Qualifier not in allowed list",IF(COUNTIF($M$5:$M$304,M120)&gt;1,"Duplicate name","OK")))))))))</f>
        <v/>
      </c>
      <c r="O120" s="10"/>
      <c r="P120" s="10"/>
      <c r="Q120" s="10"/>
    </row>
    <row r="121" spans="1:17" x14ac:dyDescent="0.25">
      <c r="A121" s="10"/>
      <c r="B121" s="10"/>
      <c r="C121" s="10"/>
      <c r="D121" s="15" t="str">
        <f>IF(C121="","",IFERROR(VLOOKUP(C121,Codes!$J$8:$O$117,2,FALSE),"Unknown type"))</f>
        <v/>
      </c>
      <c r="E121" s="10"/>
      <c r="F121" s="10"/>
      <c r="G121" s="10"/>
      <c r="H121" s="10"/>
      <c r="I121" s="10"/>
      <c r="J121" s="10"/>
      <c r="K121" s="16" t="str">
        <f>IF(C121="","",IFERROR(VLOOKUP(C121,Codes!$J$8:$O$117,6,FALSE),""))</f>
        <v/>
      </c>
      <c r="L121" s="10"/>
      <c r="M121" s="14" t="str">
        <f>IF(C121="","",LOWER(Codes!$B$4&amp;"-"&amp;G121&amp;IF(H121="","","-"&amp;H121)&amp;"-"&amp;C121&amp;"-"&amp;I121&amp;IF(J121="","","-"&amp;J121)&amp;"-"&amp;IF(L121="","01",TEXT(L121,"00"))))</f>
        <v/>
      </c>
      <c r="N121" s="15" t="str">
        <f>IF(C121="","",IF(ISNA(MATCH(C121,Codes!$J$8:$J$117,0)),"Unknown type code",IF(OR(G121="",I121=""),"Env and app required",IF(AND(VLOOKUP(C121,Codes!$J$8:$O$117,4,FALSE)="Global",H121&lt;&gt;""),"Global type: leave region blank",IF(AND(VLOOKUP(C121,Codes!$J$8:$O$117,4,FALSE)&lt;&gt;"Global",H121=""),"Region required",IF(AND(VLOOKUP(C121,Codes!$J$8:$O$117,5,FALSE)="Required",J121=""),"Qualifier required",IF(AND(VLOOKUP(C121,Codes!$J$8:$O$117,5,FALSE)="None",J121&lt;&gt;""),"This type takes no qualifier",IF(AND(J121&lt;&gt;"",VLOOKUP(C121,Codes!$J$8:$O$117,6,FALSE)&lt;&gt;"-",ISERROR(SEARCH(", "&amp;J121&amp;",",", "&amp;VLOOKUP(C121,Codes!$J$8:$O$117,6,FALSE)&amp;","))),"Qualifier not in allowed list",IF(COUNTIF($M$5:$M$304,M121)&gt;1,"Duplicate name","OK")))))))))</f>
        <v/>
      </c>
      <c r="O121" s="10"/>
      <c r="P121" s="10"/>
      <c r="Q121" s="10"/>
    </row>
    <row r="122" spans="1:17" x14ac:dyDescent="0.25">
      <c r="A122" s="10"/>
      <c r="B122" s="10"/>
      <c r="C122" s="10"/>
      <c r="D122" s="15" t="str">
        <f>IF(C122="","",IFERROR(VLOOKUP(C122,Codes!$J$8:$O$117,2,FALSE),"Unknown type"))</f>
        <v/>
      </c>
      <c r="E122" s="10"/>
      <c r="F122" s="10"/>
      <c r="G122" s="10"/>
      <c r="H122" s="10"/>
      <c r="I122" s="10"/>
      <c r="J122" s="10"/>
      <c r="K122" s="16" t="str">
        <f>IF(C122="","",IFERROR(VLOOKUP(C122,Codes!$J$8:$O$117,6,FALSE),""))</f>
        <v/>
      </c>
      <c r="L122" s="10"/>
      <c r="M122" s="14" t="str">
        <f>IF(C122="","",LOWER(Codes!$B$4&amp;"-"&amp;G122&amp;IF(H122="","","-"&amp;H122)&amp;"-"&amp;C122&amp;"-"&amp;I122&amp;IF(J122="","","-"&amp;J122)&amp;"-"&amp;IF(L122="","01",TEXT(L122,"00"))))</f>
        <v/>
      </c>
      <c r="N122" s="15" t="str">
        <f>IF(C122="","",IF(ISNA(MATCH(C122,Codes!$J$8:$J$117,0)),"Unknown type code",IF(OR(G122="",I122=""),"Env and app required",IF(AND(VLOOKUP(C122,Codes!$J$8:$O$117,4,FALSE)="Global",H122&lt;&gt;""),"Global type: leave region blank",IF(AND(VLOOKUP(C122,Codes!$J$8:$O$117,4,FALSE)&lt;&gt;"Global",H122=""),"Region required",IF(AND(VLOOKUP(C122,Codes!$J$8:$O$117,5,FALSE)="Required",J122=""),"Qualifier required",IF(AND(VLOOKUP(C122,Codes!$J$8:$O$117,5,FALSE)="None",J122&lt;&gt;""),"This type takes no qualifier",IF(AND(J122&lt;&gt;"",VLOOKUP(C122,Codes!$J$8:$O$117,6,FALSE)&lt;&gt;"-",ISERROR(SEARCH(", "&amp;J122&amp;",",", "&amp;VLOOKUP(C122,Codes!$J$8:$O$117,6,FALSE)&amp;","))),"Qualifier not in allowed list",IF(COUNTIF($M$5:$M$304,M122)&gt;1,"Duplicate name","OK")))))))))</f>
        <v/>
      </c>
      <c r="O122" s="10"/>
      <c r="P122" s="10"/>
      <c r="Q122" s="10"/>
    </row>
    <row r="123" spans="1:17" x14ac:dyDescent="0.25">
      <c r="A123" s="10"/>
      <c r="B123" s="10"/>
      <c r="C123" s="10"/>
      <c r="D123" s="15" t="str">
        <f>IF(C123="","",IFERROR(VLOOKUP(C123,Codes!$J$8:$O$117,2,FALSE),"Unknown type"))</f>
        <v/>
      </c>
      <c r="E123" s="10"/>
      <c r="F123" s="10"/>
      <c r="G123" s="10"/>
      <c r="H123" s="10"/>
      <c r="I123" s="10"/>
      <c r="J123" s="10"/>
      <c r="K123" s="16" t="str">
        <f>IF(C123="","",IFERROR(VLOOKUP(C123,Codes!$J$8:$O$117,6,FALSE),""))</f>
        <v/>
      </c>
      <c r="L123" s="10"/>
      <c r="M123" s="14" t="str">
        <f>IF(C123="","",LOWER(Codes!$B$4&amp;"-"&amp;G123&amp;IF(H123="","","-"&amp;H123)&amp;"-"&amp;C123&amp;"-"&amp;I123&amp;IF(J123="","","-"&amp;J123)&amp;"-"&amp;IF(L123="","01",TEXT(L123,"00"))))</f>
        <v/>
      </c>
      <c r="N123" s="15" t="str">
        <f>IF(C123="","",IF(ISNA(MATCH(C123,Codes!$J$8:$J$117,0)),"Unknown type code",IF(OR(G123="",I123=""),"Env and app required",IF(AND(VLOOKUP(C123,Codes!$J$8:$O$117,4,FALSE)="Global",H123&lt;&gt;""),"Global type: leave region blank",IF(AND(VLOOKUP(C123,Codes!$J$8:$O$117,4,FALSE)&lt;&gt;"Global",H123=""),"Region required",IF(AND(VLOOKUP(C123,Codes!$J$8:$O$117,5,FALSE)="Required",J123=""),"Qualifier required",IF(AND(VLOOKUP(C123,Codes!$J$8:$O$117,5,FALSE)="None",J123&lt;&gt;""),"This type takes no qualifier",IF(AND(J123&lt;&gt;"",VLOOKUP(C123,Codes!$J$8:$O$117,6,FALSE)&lt;&gt;"-",ISERROR(SEARCH(", "&amp;J123&amp;",",", "&amp;VLOOKUP(C123,Codes!$J$8:$O$117,6,FALSE)&amp;","))),"Qualifier not in allowed list",IF(COUNTIF($M$5:$M$304,M123)&gt;1,"Duplicate name","OK")))))))))</f>
        <v/>
      </c>
      <c r="O123" s="10"/>
      <c r="P123" s="10"/>
      <c r="Q123" s="10"/>
    </row>
    <row r="124" spans="1:17" x14ac:dyDescent="0.25">
      <c r="A124" s="10"/>
      <c r="B124" s="10"/>
      <c r="C124" s="10"/>
      <c r="D124" s="15" t="str">
        <f>IF(C124="","",IFERROR(VLOOKUP(C124,Codes!$J$8:$O$117,2,FALSE),"Unknown type"))</f>
        <v/>
      </c>
      <c r="E124" s="10"/>
      <c r="F124" s="10"/>
      <c r="G124" s="10"/>
      <c r="H124" s="10"/>
      <c r="I124" s="10"/>
      <c r="J124" s="10"/>
      <c r="K124" s="16" t="str">
        <f>IF(C124="","",IFERROR(VLOOKUP(C124,Codes!$J$8:$O$117,6,FALSE),""))</f>
        <v/>
      </c>
      <c r="L124" s="10"/>
      <c r="M124" s="14" t="str">
        <f>IF(C124="","",LOWER(Codes!$B$4&amp;"-"&amp;G124&amp;IF(H124="","","-"&amp;H124)&amp;"-"&amp;C124&amp;"-"&amp;I124&amp;IF(J124="","","-"&amp;J124)&amp;"-"&amp;IF(L124="","01",TEXT(L124,"00"))))</f>
        <v/>
      </c>
      <c r="N124" s="15" t="str">
        <f>IF(C124="","",IF(ISNA(MATCH(C124,Codes!$J$8:$J$117,0)),"Unknown type code",IF(OR(G124="",I124=""),"Env and app required",IF(AND(VLOOKUP(C124,Codes!$J$8:$O$117,4,FALSE)="Global",H124&lt;&gt;""),"Global type: leave region blank",IF(AND(VLOOKUP(C124,Codes!$J$8:$O$117,4,FALSE)&lt;&gt;"Global",H124=""),"Region required",IF(AND(VLOOKUP(C124,Codes!$J$8:$O$117,5,FALSE)="Required",J124=""),"Qualifier required",IF(AND(VLOOKUP(C124,Codes!$J$8:$O$117,5,FALSE)="None",J124&lt;&gt;""),"This type takes no qualifier",IF(AND(J124&lt;&gt;"",VLOOKUP(C124,Codes!$J$8:$O$117,6,FALSE)&lt;&gt;"-",ISERROR(SEARCH(", "&amp;J124&amp;",",", "&amp;VLOOKUP(C124,Codes!$J$8:$O$117,6,FALSE)&amp;","))),"Qualifier not in allowed list",IF(COUNTIF($M$5:$M$304,M124)&gt;1,"Duplicate name","OK")))))))))</f>
        <v/>
      </c>
      <c r="O124" s="10"/>
      <c r="P124" s="10"/>
      <c r="Q124" s="10"/>
    </row>
    <row r="125" spans="1:17" x14ac:dyDescent="0.25">
      <c r="A125" s="10"/>
      <c r="B125" s="10"/>
      <c r="C125" s="10"/>
      <c r="D125" s="15" t="str">
        <f>IF(C125="","",IFERROR(VLOOKUP(C125,Codes!$J$8:$O$117,2,FALSE),"Unknown type"))</f>
        <v/>
      </c>
      <c r="E125" s="10"/>
      <c r="F125" s="10"/>
      <c r="G125" s="10"/>
      <c r="H125" s="10"/>
      <c r="I125" s="10"/>
      <c r="J125" s="10"/>
      <c r="K125" s="16" t="str">
        <f>IF(C125="","",IFERROR(VLOOKUP(C125,Codes!$J$8:$O$117,6,FALSE),""))</f>
        <v/>
      </c>
      <c r="L125" s="10"/>
      <c r="M125" s="14" t="str">
        <f>IF(C125="","",LOWER(Codes!$B$4&amp;"-"&amp;G125&amp;IF(H125="","","-"&amp;H125)&amp;"-"&amp;C125&amp;"-"&amp;I125&amp;IF(J125="","","-"&amp;J125)&amp;"-"&amp;IF(L125="","01",TEXT(L125,"00"))))</f>
        <v/>
      </c>
      <c r="N125" s="15" t="str">
        <f>IF(C125="","",IF(ISNA(MATCH(C125,Codes!$J$8:$J$117,0)),"Unknown type code",IF(OR(G125="",I125=""),"Env and app required",IF(AND(VLOOKUP(C125,Codes!$J$8:$O$117,4,FALSE)="Global",H125&lt;&gt;""),"Global type: leave region blank",IF(AND(VLOOKUP(C125,Codes!$J$8:$O$117,4,FALSE)&lt;&gt;"Global",H125=""),"Region required",IF(AND(VLOOKUP(C125,Codes!$J$8:$O$117,5,FALSE)="Required",J125=""),"Qualifier required",IF(AND(VLOOKUP(C125,Codes!$J$8:$O$117,5,FALSE)="None",J125&lt;&gt;""),"This type takes no qualifier",IF(AND(J125&lt;&gt;"",VLOOKUP(C125,Codes!$J$8:$O$117,6,FALSE)&lt;&gt;"-",ISERROR(SEARCH(", "&amp;J125&amp;",",", "&amp;VLOOKUP(C125,Codes!$J$8:$O$117,6,FALSE)&amp;","))),"Qualifier not in allowed list",IF(COUNTIF($M$5:$M$304,M125)&gt;1,"Duplicate name","OK")))))))))</f>
        <v/>
      </c>
      <c r="O125" s="10"/>
      <c r="P125" s="10"/>
      <c r="Q125" s="10"/>
    </row>
    <row r="126" spans="1:17" x14ac:dyDescent="0.25">
      <c r="A126" s="10"/>
      <c r="B126" s="10"/>
      <c r="C126" s="10"/>
      <c r="D126" s="15" t="str">
        <f>IF(C126="","",IFERROR(VLOOKUP(C126,Codes!$J$8:$O$117,2,FALSE),"Unknown type"))</f>
        <v/>
      </c>
      <c r="E126" s="10"/>
      <c r="F126" s="10"/>
      <c r="G126" s="10"/>
      <c r="H126" s="10"/>
      <c r="I126" s="10"/>
      <c r="J126" s="10"/>
      <c r="K126" s="16" t="str">
        <f>IF(C126="","",IFERROR(VLOOKUP(C126,Codes!$J$8:$O$117,6,FALSE),""))</f>
        <v/>
      </c>
      <c r="L126" s="10"/>
      <c r="M126" s="14" t="str">
        <f>IF(C126="","",LOWER(Codes!$B$4&amp;"-"&amp;G126&amp;IF(H126="","","-"&amp;H126)&amp;"-"&amp;C126&amp;"-"&amp;I126&amp;IF(J126="","","-"&amp;J126)&amp;"-"&amp;IF(L126="","01",TEXT(L126,"00"))))</f>
        <v/>
      </c>
      <c r="N126" s="15" t="str">
        <f>IF(C126="","",IF(ISNA(MATCH(C126,Codes!$J$8:$J$117,0)),"Unknown type code",IF(OR(G126="",I126=""),"Env and app required",IF(AND(VLOOKUP(C126,Codes!$J$8:$O$117,4,FALSE)="Global",H126&lt;&gt;""),"Global type: leave region blank",IF(AND(VLOOKUP(C126,Codes!$J$8:$O$117,4,FALSE)&lt;&gt;"Global",H126=""),"Region required",IF(AND(VLOOKUP(C126,Codes!$J$8:$O$117,5,FALSE)="Required",J126=""),"Qualifier required",IF(AND(VLOOKUP(C126,Codes!$J$8:$O$117,5,FALSE)="None",J126&lt;&gt;""),"This type takes no qualifier",IF(AND(J126&lt;&gt;"",VLOOKUP(C126,Codes!$J$8:$O$117,6,FALSE)&lt;&gt;"-",ISERROR(SEARCH(", "&amp;J126&amp;",",", "&amp;VLOOKUP(C126,Codes!$J$8:$O$117,6,FALSE)&amp;","))),"Qualifier not in allowed list",IF(COUNTIF($M$5:$M$304,M126)&gt;1,"Duplicate name","OK")))))))))</f>
        <v/>
      </c>
      <c r="O126" s="10"/>
      <c r="P126" s="10"/>
      <c r="Q126" s="10"/>
    </row>
    <row r="127" spans="1:17" x14ac:dyDescent="0.25">
      <c r="A127" s="10"/>
      <c r="B127" s="10"/>
      <c r="C127" s="10"/>
      <c r="D127" s="15" t="str">
        <f>IF(C127="","",IFERROR(VLOOKUP(C127,Codes!$J$8:$O$117,2,FALSE),"Unknown type"))</f>
        <v/>
      </c>
      <c r="E127" s="10"/>
      <c r="F127" s="10"/>
      <c r="G127" s="10"/>
      <c r="H127" s="10"/>
      <c r="I127" s="10"/>
      <c r="J127" s="10"/>
      <c r="K127" s="16" t="str">
        <f>IF(C127="","",IFERROR(VLOOKUP(C127,Codes!$J$8:$O$117,6,FALSE),""))</f>
        <v/>
      </c>
      <c r="L127" s="10"/>
      <c r="M127" s="14" t="str">
        <f>IF(C127="","",LOWER(Codes!$B$4&amp;"-"&amp;G127&amp;IF(H127="","","-"&amp;H127)&amp;"-"&amp;C127&amp;"-"&amp;I127&amp;IF(J127="","","-"&amp;J127)&amp;"-"&amp;IF(L127="","01",TEXT(L127,"00"))))</f>
        <v/>
      </c>
      <c r="N127" s="15" t="str">
        <f>IF(C127="","",IF(ISNA(MATCH(C127,Codes!$J$8:$J$117,0)),"Unknown type code",IF(OR(G127="",I127=""),"Env and app required",IF(AND(VLOOKUP(C127,Codes!$J$8:$O$117,4,FALSE)="Global",H127&lt;&gt;""),"Global type: leave region blank",IF(AND(VLOOKUP(C127,Codes!$J$8:$O$117,4,FALSE)&lt;&gt;"Global",H127=""),"Region required",IF(AND(VLOOKUP(C127,Codes!$J$8:$O$117,5,FALSE)="Required",J127=""),"Qualifier required",IF(AND(VLOOKUP(C127,Codes!$J$8:$O$117,5,FALSE)="None",J127&lt;&gt;""),"This type takes no qualifier",IF(AND(J127&lt;&gt;"",VLOOKUP(C127,Codes!$J$8:$O$117,6,FALSE)&lt;&gt;"-",ISERROR(SEARCH(", "&amp;J127&amp;",",", "&amp;VLOOKUP(C127,Codes!$J$8:$O$117,6,FALSE)&amp;","))),"Qualifier not in allowed list",IF(COUNTIF($M$5:$M$304,M127)&gt;1,"Duplicate name","OK")))))))))</f>
        <v/>
      </c>
      <c r="O127" s="10"/>
      <c r="P127" s="10"/>
      <c r="Q127" s="10"/>
    </row>
    <row r="128" spans="1:17" x14ac:dyDescent="0.25">
      <c r="A128" s="10"/>
      <c r="B128" s="10"/>
      <c r="C128" s="10"/>
      <c r="D128" s="15" t="str">
        <f>IF(C128="","",IFERROR(VLOOKUP(C128,Codes!$J$8:$O$117,2,FALSE),"Unknown type"))</f>
        <v/>
      </c>
      <c r="E128" s="10"/>
      <c r="F128" s="10"/>
      <c r="G128" s="10"/>
      <c r="H128" s="10"/>
      <c r="I128" s="10"/>
      <c r="J128" s="10"/>
      <c r="K128" s="16" t="str">
        <f>IF(C128="","",IFERROR(VLOOKUP(C128,Codes!$J$8:$O$117,6,FALSE),""))</f>
        <v/>
      </c>
      <c r="L128" s="10"/>
      <c r="M128" s="14" t="str">
        <f>IF(C128="","",LOWER(Codes!$B$4&amp;"-"&amp;G128&amp;IF(H128="","","-"&amp;H128)&amp;"-"&amp;C128&amp;"-"&amp;I128&amp;IF(J128="","","-"&amp;J128)&amp;"-"&amp;IF(L128="","01",TEXT(L128,"00"))))</f>
        <v/>
      </c>
      <c r="N128" s="15" t="str">
        <f>IF(C128="","",IF(ISNA(MATCH(C128,Codes!$J$8:$J$117,0)),"Unknown type code",IF(OR(G128="",I128=""),"Env and app required",IF(AND(VLOOKUP(C128,Codes!$J$8:$O$117,4,FALSE)="Global",H128&lt;&gt;""),"Global type: leave region blank",IF(AND(VLOOKUP(C128,Codes!$J$8:$O$117,4,FALSE)&lt;&gt;"Global",H128=""),"Region required",IF(AND(VLOOKUP(C128,Codes!$J$8:$O$117,5,FALSE)="Required",J128=""),"Qualifier required",IF(AND(VLOOKUP(C128,Codes!$J$8:$O$117,5,FALSE)="None",J128&lt;&gt;""),"This type takes no qualifier",IF(AND(J128&lt;&gt;"",VLOOKUP(C128,Codes!$J$8:$O$117,6,FALSE)&lt;&gt;"-",ISERROR(SEARCH(", "&amp;J128&amp;",",", "&amp;VLOOKUP(C128,Codes!$J$8:$O$117,6,FALSE)&amp;","))),"Qualifier not in allowed list",IF(COUNTIF($M$5:$M$304,M128)&gt;1,"Duplicate name","OK")))))))))</f>
        <v/>
      </c>
      <c r="O128" s="10"/>
      <c r="P128" s="10"/>
      <c r="Q128" s="10"/>
    </row>
    <row r="129" spans="1:17" x14ac:dyDescent="0.25">
      <c r="A129" s="10"/>
      <c r="B129" s="10"/>
      <c r="C129" s="10"/>
      <c r="D129" s="15" t="str">
        <f>IF(C129="","",IFERROR(VLOOKUP(C129,Codes!$J$8:$O$117,2,FALSE),"Unknown type"))</f>
        <v/>
      </c>
      <c r="E129" s="10"/>
      <c r="F129" s="10"/>
      <c r="G129" s="10"/>
      <c r="H129" s="10"/>
      <c r="I129" s="10"/>
      <c r="J129" s="10"/>
      <c r="K129" s="16" t="str">
        <f>IF(C129="","",IFERROR(VLOOKUP(C129,Codes!$J$8:$O$117,6,FALSE),""))</f>
        <v/>
      </c>
      <c r="L129" s="10"/>
      <c r="M129" s="14" t="str">
        <f>IF(C129="","",LOWER(Codes!$B$4&amp;"-"&amp;G129&amp;IF(H129="","","-"&amp;H129)&amp;"-"&amp;C129&amp;"-"&amp;I129&amp;IF(J129="","","-"&amp;J129)&amp;"-"&amp;IF(L129="","01",TEXT(L129,"00"))))</f>
        <v/>
      </c>
      <c r="N129" s="15" t="str">
        <f>IF(C129="","",IF(ISNA(MATCH(C129,Codes!$J$8:$J$117,0)),"Unknown type code",IF(OR(G129="",I129=""),"Env and app required",IF(AND(VLOOKUP(C129,Codes!$J$8:$O$117,4,FALSE)="Global",H129&lt;&gt;""),"Global type: leave region blank",IF(AND(VLOOKUP(C129,Codes!$J$8:$O$117,4,FALSE)&lt;&gt;"Global",H129=""),"Region required",IF(AND(VLOOKUP(C129,Codes!$J$8:$O$117,5,FALSE)="Required",J129=""),"Qualifier required",IF(AND(VLOOKUP(C129,Codes!$J$8:$O$117,5,FALSE)="None",J129&lt;&gt;""),"This type takes no qualifier",IF(AND(J129&lt;&gt;"",VLOOKUP(C129,Codes!$J$8:$O$117,6,FALSE)&lt;&gt;"-",ISERROR(SEARCH(", "&amp;J129&amp;",",", "&amp;VLOOKUP(C129,Codes!$J$8:$O$117,6,FALSE)&amp;","))),"Qualifier not in allowed list",IF(COUNTIF($M$5:$M$304,M129)&gt;1,"Duplicate name","OK")))))))))</f>
        <v/>
      </c>
      <c r="O129" s="10"/>
      <c r="P129" s="10"/>
      <c r="Q129" s="10"/>
    </row>
    <row r="130" spans="1:17" x14ac:dyDescent="0.25">
      <c r="A130" s="10"/>
      <c r="B130" s="10"/>
      <c r="C130" s="10"/>
      <c r="D130" s="15" t="str">
        <f>IF(C130="","",IFERROR(VLOOKUP(C130,Codes!$J$8:$O$117,2,FALSE),"Unknown type"))</f>
        <v/>
      </c>
      <c r="E130" s="10"/>
      <c r="F130" s="10"/>
      <c r="G130" s="10"/>
      <c r="H130" s="10"/>
      <c r="I130" s="10"/>
      <c r="J130" s="10"/>
      <c r="K130" s="16" t="str">
        <f>IF(C130="","",IFERROR(VLOOKUP(C130,Codes!$J$8:$O$117,6,FALSE),""))</f>
        <v/>
      </c>
      <c r="L130" s="10"/>
      <c r="M130" s="14" t="str">
        <f>IF(C130="","",LOWER(Codes!$B$4&amp;"-"&amp;G130&amp;IF(H130="","","-"&amp;H130)&amp;"-"&amp;C130&amp;"-"&amp;I130&amp;IF(J130="","","-"&amp;J130)&amp;"-"&amp;IF(L130="","01",TEXT(L130,"00"))))</f>
        <v/>
      </c>
      <c r="N130" s="15" t="str">
        <f>IF(C130="","",IF(ISNA(MATCH(C130,Codes!$J$8:$J$117,0)),"Unknown type code",IF(OR(G130="",I130=""),"Env and app required",IF(AND(VLOOKUP(C130,Codes!$J$8:$O$117,4,FALSE)="Global",H130&lt;&gt;""),"Global type: leave region blank",IF(AND(VLOOKUP(C130,Codes!$J$8:$O$117,4,FALSE)&lt;&gt;"Global",H130=""),"Region required",IF(AND(VLOOKUP(C130,Codes!$J$8:$O$117,5,FALSE)="Required",J130=""),"Qualifier required",IF(AND(VLOOKUP(C130,Codes!$J$8:$O$117,5,FALSE)="None",J130&lt;&gt;""),"This type takes no qualifier",IF(AND(J130&lt;&gt;"",VLOOKUP(C130,Codes!$J$8:$O$117,6,FALSE)&lt;&gt;"-",ISERROR(SEARCH(", "&amp;J130&amp;",",", "&amp;VLOOKUP(C130,Codes!$J$8:$O$117,6,FALSE)&amp;","))),"Qualifier not in allowed list",IF(COUNTIF($M$5:$M$304,M130)&gt;1,"Duplicate name","OK")))))))))</f>
        <v/>
      </c>
      <c r="O130" s="10"/>
      <c r="P130" s="10"/>
      <c r="Q130" s="10"/>
    </row>
    <row r="131" spans="1:17" x14ac:dyDescent="0.25">
      <c r="A131" s="10"/>
      <c r="B131" s="10"/>
      <c r="C131" s="10"/>
      <c r="D131" s="15" t="str">
        <f>IF(C131="","",IFERROR(VLOOKUP(C131,Codes!$J$8:$O$117,2,FALSE),"Unknown type"))</f>
        <v/>
      </c>
      <c r="E131" s="10"/>
      <c r="F131" s="10"/>
      <c r="G131" s="10"/>
      <c r="H131" s="10"/>
      <c r="I131" s="10"/>
      <c r="J131" s="10"/>
      <c r="K131" s="16" t="str">
        <f>IF(C131="","",IFERROR(VLOOKUP(C131,Codes!$J$8:$O$117,6,FALSE),""))</f>
        <v/>
      </c>
      <c r="L131" s="10"/>
      <c r="M131" s="14" t="str">
        <f>IF(C131="","",LOWER(Codes!$B$4&amp;"-"&amp;G131&amp;IF(H131="","","-"&amp;H131)&amp;"-"&amp;C131&amp;"-"&amp;I131&amp;IF(J131="","","-"&amp;J131)&amp;"-"&amp;IF(L131="","01",TEXT(L131,"00"))))</f>
        <v/>
      </c>
      <c r="N131" s="15" t="str">
        <f>IF(C131="","",IF(ISNA(MATCH(C131,Codes!$J$8:$J$117,0)),"Unknown type code",IF(OR(G131="",I131=""),"Env and app required",IF(AND(VLOOKUP(C131,Codes!$J$8:$O$117,4,FALSE)="Global",H131&lt;&gt;""),"Global type: leave region blank",IF(AND(VLOOKUP(C131,Codes!$J$8:$O$117,4,FALSE)&lt;&gt;"Global",H131=""),"Region required",IF(AND(VLOOKUP(C131,Codes!$J$8:$O$117,5,FALSE)="Required",J131=""),"Qualifier required",IF(AND(VLOOKUP(C131,Codes!$J$8:$O$117,5,FALSE)="None",J131&lt;&gt;""),"This type takes no qualifier",IF(AND(J131&lt;&gt;"",VLOOKUP(C131,Codes!$J$8:$O$117,6,FALSE)&lt;&gt;"-",ISERROR(SEARCH(", "&amp;J131&amp;",",", "&amp;VLOOKUP(C131,Codes!$J$8:$O$117,6,FALSE)&amp;","))),"Qualifier not in allowed list",IF(COUNTIF($M$5:$M$304,M131)&gt;1,"Duplicate name","OK")))))))))</f>
        <v/>
      </c>
      <c r="O131" s="10"/>
      <c r="P131" s="10"/>
      <c r="Q131" s="10"/>
    </row>
    <row r="132" spans="1:17" x14ac:dyDescent="0.25">
      <c r="A132" s="10"/>
      <c r="B132" s="10"/>
      <c r="C132" s="10"/>
      <c r="D132" s="15" t="str">
        <f>IF(C132="","",IFERROR(VLOOKUP(C132,Codes!$J$8:$O$117,2,FALSE),"Unknown type"))</f>
        <v/>
      </c>
      <c r="E132" s="10"/>
      <c r="F132" s="10"/>
      <c r="G132" s="10"/>
      <c r="H132" s="10"/>
      <c r="I132" s="10"/>
      <c r="J132" s="10"/>
      <c r="K132" s="16" t="str">
        <f>IF(C132="","",IFERROR(VLOOKUP(C132,Codes!$J$8:$O$117,6,FALSE),""))</f>
        <v/>
      </c>
      <c r="L132" s="10"/>
      <c r="M132" s="14" t="str">
        <f>IF(C132="","",LOWER(Codes!$B$4&amp;"-"&amp;G132&amp;IF(H132="","","-"&amp;H132)&amp;"-"&amp;C132&amp;"-"&amp;I132&amp;IF(J132="","","-"&amp;J132)&amp;"-"&amp;IF(L132="","01",TEXT(L132,"00"))))</f>
        <v/>
      </c>
      <c r="N132" s="15" t="str">
        <f>IF(C132="","",IF(ISNA(MATCH(C132,Codes!$J$8:$J$117,0)),"Unknown type code",IF(OR(G132="",I132=""),"Env and app required",IF(AND(VLOOKUP(C132,Codes!$J$8:$O$117,4,FALSE)="Global",H132&lt;&gt;""),"Global type: leave region blank",IF(AND(VLOOKUP(C132,Codes!$J$8:$O$117,4,FALSE)&lt;&gt;"Global",H132=""),"Region required",IF(AND(VLOOKUP(C132,Codes!$J$8:$O$117,5,FALSE)="Required",J132=""),"Qualifier required",IF(AND(VLOOKUP(C132,Codes!$J$8:$O$117,5,FALSE)="None",J132&lt;&gt;""),"This type takes no qualifier",IF(AND(J132&lt;&gt;"",VLOOKUP(C132,Codes!$J$8:$O$117,6,FALSE)&lt;&gt;"-",ISERROR(SEARCH(", "&amp;J132&amp;",",", "&amp;VLOOKUP(C132,Codes!$J$8:$O$117,6,FALSE)&amp;","))),"Qualifier not in allowed list",IF(COUNTIF($M$5:$M$304,M132)&gt;1,"Duplicate name","OK")))))))))</f>
        <v/>
      </c>
      <c r="O132" s="10"/>
      <c r="P132" s="10"/>
      <c r="Q132" s="10"/>
    </row>
    <row r="133" spans="1:17" x14ac:dyDescent="0.25">
      <c r="A133" s="10"/>
      <c r="B133" s="10"/>
      <c r="C133" s="10"/>
      <c r="D133" s="15" t="str">
        <f>IF(C133="","",IFERROR(VLOOKUP(C133,Codes!$J$8:$O$117,2,FALSE),"Unknown type"))</f>
        <v/>
      </c>
      <c r="E133" s="10"/>
      <c r="F133" s="10"/>
      <c r="G133" s="10"/>
      <c r="H133" s="10"/>
      <c r="I133" s="10"/>
      <c r="J133" s="10"/>
      <c r="K133" s="16" t="str">
        <f>IF(C133="","",IFERROR(VLOOKUP(C133,Codes!$J$8:$O$117,6,FALSE),""))</f>
        <v/>
      </c>
      <c r="L133" s="10"/>
      <c r="M133" s="14" t="str">
        <f>IF(C133="","",LOWER(Codes!$B$4&amp;"-"&amp;G133&amp;IF(H133="","","-"&amp;H133)&amp;"-"&amp;C133&amp;"-"&amp;I133&amp;IF(J133="","","-"&amp;J133)&amp;"-"&amp;IF(L133="","01",TEXT(L133,"00"))))</f>
        <v/>
      </c>
      <c r="N133" s="15" t="str">
        <f>IF(C133="","",IF(ISNA(MATCH(C133,Codes!$J$8:$J$117,0)),"Unknown type code",IF(OR(G133="",I133=""),"Env and app required",IF(AND(VLOOKUP(C133,Codes!$J$8:$O$117,4,FALSE)="Global",H133&lt;&gt;""),"Global type: leave region blank",IF(AND(VLOOKUP(C133,Codes!$J$8:$O$117,4,FALSE)&lt;&gt;"Global",H133=""),"Region required",IF(AND(VLOOKUP(C133,Codes!$J$8:$O$117,5,FALSE)="Required",J133=""),"Qualifier required",IF(AND(VLOOKUP(C133,Codes!$J$8:$O$117,5,FALSE)="None",J133&lt;&gt;""),"This type takes no qualifier",IF(AND(J133&lt;&gt;"",VLOOKUP(C133,Codes!$J$8:$O$117,6,FALSE)&lt;&gt;"-",ISERROR(SEARCH(", "&amp;J133&amp;",",", "&amp;VLOOKUP(C133,Codes!$J$8:$O$117,6,FALSE)&amp;","))),"Qualifier not in allowed list",IF(COUNTIF($M$5:$M$304,M133)&gt;1,"Duplicate name","OK")))))))))</f>
        <v/>
      </c>
      <c r="O133" s="10"/>
      <c r="P133" s="10"/>
      <c r="Q133" s="10"/>
    </row>
    <row r="134" spans="1:17" x14ac:dyDescent="0.25">
      <c r="A134" s="10"/>
      <c r="B134" s="10"/>
      <c r="C134" s="10"/>
      <c r="D134" s="15" t="str">
        <f>IF(C134="","",IFERROR(VLOOKUP(C134,Codes!$J$8:$O$117,2,FALSE),"Unknown type"))</f>
        <v/>
      </c>
      <c r="E134" s="10"/>
      <c r="F134" s="10"/>
      <c r="G134" s="10"/>
      <c r="H134" s="10"/>
      <c r="I134" s="10"/>
      <c r="J134" s="10"/>
      <c r="K134" s="16" t="str">
        <f>IF(C134="","",IFERROR(VLOOKUP(C134,Codes!$J$8:$O$117,6,FALSE),""))</f>
        <v/>
      </c>
      <c r="L134" s="10"/>
      <c r="M134" s="14" t="str">
        <f>IF(C134="","",LOWER(Codes!$B$4&amp;"-"&amp;G134&amp;IF(H134="","","-"&amp;H134)&amp;"-"&amp;C134&amp;"-"&amp;I134&amp;IF(J134="","","-"&amp;J134)&amp;"-"&amp;IF(L134="","01",TEXT(L134,"00"))))</f>
        <v/>
      </c>
      <c r="N134" s="15" t="str">
        <f>IF(C134="","",IF(ISNA(MATCH(C134,Codes!$J$8:$J$117,0)),"Unknown type code",IF(OR(G134="",I134=""),"Env and app required",IF(AND(VLOOKUP(C134,Codes!$J$8:$O$117,4,FALSE)="Global",H134&lt;&gt;""),"Global type: leave region blank",IF(AND(VLOOKUP(C134,Codes!$J$8:$O$117,4,FALSE)&lt;&gt;"Global",H134=""),"Region required",IF(AND(VLOOKUP(C134,Codes!$J$8:$O$117,5,FALSE)="Required",J134=""),"Qualifier required",IF(AND(VLOOKUP(C134,Codes!$J$8:$O$117,5,FALSE)="None",J134&lt;&gt;""),"This type takes no qualifier",IF(AND(J134&lt;&gt;"",VLOOKUP(C134,Codes!$J$8:$O$117,6,FALSE)&lt;&gt;"-",ISERROR(SEARCH(", "&amp;J134&amp;",",", "&amp;VLOOKUP(C134,Codes!$J$8:$O$117,6,FALSE)&amp;","))),"Qualifier not in allowed list",IF(COUNTIF($M$5:$M$304,M134)&gt;1,"Duplicate name","OK")))))))))</f>
        <v/>
      </c>
      <c r="O134" s="10"/>
      <c r="P134" s="10"/>
      <c r="Q134" s="10"/>
    </row>
    <row r="135" spans="1:17" x14ac:dyDescent="0.25">
      <c r="A135" s="10"/>
      <c r="B135" s="10"/>
      <c r="C135" s="10"/>
      <c r="D135" s="15" t="str">
        <f>IF(C135="","",IFERROR(VLOOKUP(C135,Codes!$J$8:$O$117,2,FALSE),"Unknown type"))</f>
        <v/>
      </c>
      <c r="E135" s="10"/>
      <c r="F135" s="10"/>
      <c r="G135" s="10"/>
      <c r="H135" s="10"/>
      <c r="I135" s="10"/>
      <c r="J135" s="10"/>
      <c r="K135" s="16" t="str">
        <f>IF(C135="","",IFERROR(VLOOKUP(C135,Codes!$J$8:$O$117,6,FALSE),""))</f>
        <v/>
      </c>
      <c r="L135" s="10"/>
      <c r="M135" s="14" t="str">
        <f>IF(C135="","",LOWER(Codes!$B$4&amp;"-"&amp;G135&amp;IF(H135="","","-"&amp;H135)&amp;"-"&amp;C135&amp;"-"&amp;I135&amp;IF(J135="","","-"&amp;J135)&amp;"-"&amp;IF(L135="","01",TEXT(L135,"00"))))</f>
        <v/>
      </c>
      <c r="N135" s="15" t="str">
        <f>IF(C135="","",IF(ISNA(MATCH(C135,Codes!$J$8:$J$117,0)),"Unknown type code",IF(OR(G135="",I135=""),"Env and app required",IF(AND(VLOOKUP(C135,Codes!$J$8:$O$117,4,FALSE)="Global",H135&lt;&gt;""),"Global type: leave region blank",IF(AND(VLOOKUP(C135,Codes!$J$8:$O$117,4,FALSE)&lt;&gt;"Global",H135=""),"Region required",IF(AND(VLOOKUP(C135,Codes!$J$8:$O$117,5,FALSE)="Required",J135=""),"Qualifier required",IF(AND(VLOOKUP(C135,Codes!$J$8:$O$117,5,FALSE)="None",J135&lt;&gt;""),"This type takes no qualifier",IF(AND(J135&lt;&gt;"",VLOOKUP(C135,Codes!$J$8:$O$117,6,FALSE)&lt;&gt;"-",ISERROR(SEARCH(", "&amp;J135&amp;",",", "&amp;VLOOKUP(C135,Codes!$J$8:$O$117,6,FALSE)&amp;","))),"Qualifier not in allowed list",IF(COUNTIF($M$5:$M$304,M135)&gt;1,"Duplicate name","OK")))))))))</f>
        <v/>
      </c>
      <c r="O135" s="10"/>
      <c r="P135" s="10"/>
      <c r="Q135" s="10"/>
    </row>
    <row r="136" spans="1:17" x14ac:dyDescent="0.25">
      <c r="A136" s="10"/>
      <c r="B136" s="10"/>
      <c r="C136" s="10"/>
      <c r="D136" s="15" t="str">
        <f>IF(C136="","",IFERROR(VLOOKUP(C136,Codes!$J$8:$O$117,2,FALSE),"Unknown type"))</f>
        <v/>
      </c>
      <c r="E136" s="10"/>
      <c r="F136" s="10"/>
      <c r="G136" s="10"/>
      <c r="H136" s="10"/>
      <c r="I136" s="10"/>
      <c r="J136" s="10"/>
      <c r="K136" s="16" t="str">
        <f>IF(C136="","",IFERROR(VLOOKUP(C136,Codes!$J$8:$O$117,6,FALSE),""))</f>
        <v/>
      </c>
      <c r="L136" s="10"/>
      <c r="M136" s="14" t="str">
        <f>IF(C136="","",LOWER(Codes!$B$4&amp;"-"&amp;G136&amp;IF(H136="","","-"&amp;H136)&amp;"-"&amp;C136&amp;"-"&amp;I136&amp;IF(J136="","","-"&amp;J136)&amp;"-"&amp;IF(L136="","01",TEXT(L136,"00"))))</f>
        <v/>
      </c>
      <c r="N136" s="15" t="str">
        <f>IF(C136="","",IF(ISNA(MATCH(C136,Codes!$J$8:$J$117,0)),"Unknown type code",IF(OR(G136="",I136=""),"Env and app required",IF(AND(VLOOKUP(C136,Codes!$J$8:$O$117,4,FALSE)="Global",H136&lt;&gt;""),"Global type: leave region blank",IF(AND(VLOOKUP(C136,Codes!$J$8:$O$117,4,FALSE)&lt;&gt;"Global",H136=""),"Region required",IF(AND(VLOOKUP(C136,Codes!$J$8:$O$117,5,FALSE)="Required",J136=""),"Qualifier required",IF(AND(VLOOKUP(C136,Codes!$J$8:$O$117,5,FALSE)="None",J136&lt;&gt;""),"This type takes no qualifier",IF(AND(J136&lt;&gt;"",VLOOKUP(C136,Codes!$J$8:$O$117,6,FALSE)&lt;&gt;"-",ISERROR(SEARCH(", "&amp;J136&amp;",",", "&amp;VLOOKUP(C136,Codes!$J$8:$O$117,6,FALSE)&amp;","))),"Qualifier not in allowed list",IF(COUNTIF($M$5:$M$304,M136)&gt;1,"Duplicate name","OK")))))))))</f>
        <v/>
      </c>
      <c r="O136" s="10"/>
      <c r="P136" s="10"/>
      <c r="Q136" s="10"/>
    </row>
    <row r="137" spans="1:17" x14ac:dyDescent="0.25">
      <c r="A137" s="10"/>
      <c r="B137" s="10"/>
      <c r="C137" s="10"/>
      <c r="D137" s="15" t="str">
        <f>IF(C137="","",IFERROR(VLOOKUP(C137,Codes!$J$8:$O$117,2,FALSE),"Unknown type"))</f>
        <v/>
      </c>
      <c r="E137" s="10"/>
      <c r="F137" s="10"/>
      <c r="G137" s="10"/>
      <c r="H137" s="10"/>
      <c r="I137" s="10"/>
      <c r="J137" s="10"/>
      <c r="K137" s="16" t="str">
        <f>IF(C137="","",IFERROR(VLOOKUP(C137,Codes!$J$8:$O$117,6,FALSE),""))</f>
        <v/>
      </c>
      <c r="L137" s="10"/>
      <c r="M137" s="14" t="str">
        <f>IF(C137="","",LOWER(Codes!$B$4&amp;"-"&amp;G137&amp;IF(H137="","","-"&amp;H137)&amp;"-"&amp;C137&amp;"-"&amp;I137&amp;IF(J137="","","-"&amp;J137)&amp;"-"&amp;IF(L137="","01",TEXT(L137,"00"))))</f>
        <v/>
      </c>
      <c r="N137" s="15" t="str">
        <f>IF(C137="","",IF(ISNA(MATCH(C137,Codes!$J$8:$J$117,0)),"Unknown type code",IF(OR(G137="",I137=""),"Env and app required",IF(AND(VLOOKUP(C137,Codes!$J$8:$O$117,4,FALSE)="Global",H137&lt;&gt;""),"Global type: leave region blank",IF(AND(VLOOKUP(C137,Codes!$J$8:$O$117,4,FALSE)&lt;&gt;"Global",H137=""),"Region required",IF(AND(VLOOKUP(C137,Codes!$J$8:$O$117,5,FALSE)="Required",J137=""),"Qualifier required",IF(AND(VLOOKUP(C137,Codes!$J$8:$O$117,5,FALSE)="None",J137&lt;&gt;""),"This type takes no qualifier",IF(AND(J137&lt;&gt;"",VLOOKUP(C137,Codes!$J$8:$O$117,6,FALSE)&lt;&gt;"-",ISERROR(SEARCH(", "&amp;J137&amp;",",", "&amp;VLOOKUP(C137,Codes!$J$8:$O$117,6,FALSE)&amp;","))),"Qualifier not in allowed list",IF(COUNTIF($M$5:$M$304,M137)&gt;1,"Duplicate name","OK")))))))))</f>
        <v/>
      </c>
      <c r="O137" s="10"/>
      <c r="P137" s="10"/>
      <c r="Q137" s="10"/>
    </row>
    <row r="138" spans="1:17" x14ac:dyDescent="0.25">
      <c r="A138" s="10"/>
      <c r="B138" s="10"/>
      <c r="C138" s="10"/>
      <c r="D138" s="15" t="str">
        <f>IF(C138="","",IFERROR(VLOOKUP(C138,Codes!$J$8:$O$117,2,FALSE),"Unknown type"))</f>
        <v/>
      </c>
      <c r="E138" s="10"/>
      <c r="F138" s="10"/>
      <c r="G138" s="10"/>
      <c r="H138" s="10"/>
      <c r="I138" s="10"/>
      <c r="J138" s="10"/>
      <c r="K138" s="16" t="str">
        <f>IF(C138="","",IFERROR(VLOOKUP(C138,Codes!$J$8:$O$117,6,FALSE),""))</f>
        <v/>
      </c>
      <c r="L138" s="10"/>
      <c r="M138" s="14" t="str">
        <f>IF(C138="","",LOWER(Codes!$B$4&amp;"-"&amp;G138&amp;IF(H138="","","-"&amp;H138)&amp;"-"&amp;C138&amp;"-"&amp;I138&amp;IF(J138="","","-"&amp;J138)&amp;"-"&amp;IF(L138="","01",TEXT(L138,"00"))))</f>
        <v/>
      </c>
      <c r="N138" s="15" t="str">
        <f>IF(C138="","",IF(ISNA(MATCH(C138,Codes!$J$8:$J$117,0)),"Unknown type code",IF(OR(G138="",I138=""),"Env and app required",IF(AND(VLOOKUP(C138,Codes!$J$8:$O$117,4,FALSE)="Global",H138&lt;&gt;""),"Global type: leave region blank",IF(AND(VLOOKUP(C138,Codes!$J$8:$O$117,4,FALSE)&lt;&gt;"Global",H138=""),"Region required",IF(AND(VLOOKUP(C138,Codes!$J$8:$O$117,5,FALSE)="Required",J138=""),"Qualifier required",IF(AND(VLOOKUP(C138,Codes!$J$8:$O$117,5,FALSE)="None",J138&lt;&gt;""),"This type takes no qualifier",IF(AND(J138&lt;&gt;"",VLOOKUP(C138,Codes!$J$8:$O$117,6,FALSE)&lt;&gt;"-",ISERROR(SEARCH(", "&amp;J138&amp;",",", "&amp;VLOOKUP(C138,Codes!$J$8:$O$117,6,FALSE)&amp;","))),"Qualifier not in allowed list",IF(COUNTIF($M$5:$M$304,M138)&gt;1,"Duplicate name","OK")))))))))</f>
        <v/>
      </c>
      <c r="O138" s="10"/>
      <c r="P138" s="10"/>
      <c r="Q138" s="10"/>
    </row>
    <row r="139" spans="1:17" x14ac:dyDescent="0.25">
      <c r="A139" s="10"/>
      <c r="B139" s="10"/>
      <c r="C139" s="10"/>
      <c r="D139" s="15" t="str">
        <f>IF(C139="","",IFERROR(VLOOKUP(C139,Codes!$J$8:$O$117,2,FALSE),"Unknown type"))</f>
        <v/>
      </c>
      <c r="E139" s="10"/>
      <c r="F139" s="10"/>
      <c r="G139" s="10"/>
      <c r="H139" s="10"/>
      <c r="I139" s="10"/>
      <c r="J139" s="10"/>
      <c r="K139" s="16" t="str">
        <f>IF(C139="","",IFERROR(VLOOKUP(C139,Codes!$J$8:$O$117,6,FALSE),""))</f>
        <v/>
      </c>
      <c r="L139" s="10"/>
      <c r="M139" s="14" t="str">
        <f>IF(C139="","",LOWER(Codes!$B$4&amp;"-"&amp;G139&amp;IF(H139="","","-"&amp;H139)&amp;"-"&amp;C139&amp;"-"&amp;I139&amp;IF(J139="","","-"&amp;J139)&amp;"-"&amp;IF(L139="","01",TEXT(L139,"00"))))</f>
        <v/>
      </c>
      <c r="N139" s="15" t="str">
        <f>IF(C139="","",IF(ISNA(MATCH(C139,Codes!$J$8:$J$117,0)),"Unknown type code",IF(OR(G139="",I139=""),"Env and app required",IF(AND(VLOOKUP(C139,Codes!$J$8:$O$117,4,FALSE)="Global",H139&lt;&gt;""),"Global type: leave region blank",IF(AND(VLOOKUP(C139,Codes!$J$8:$O$117,4,FALSE)&lt;&gt;"Global",H139=""),"Region required",IF(AND(VLOOKUP(C139,Codes!$J$8:$O$117,5,FALSE)="Required",J139=""),"Qualifier required",IF(AND(VLOOKUP(C139,Codes!$J$8:$O$117,5,FALSE)="None",J139&lt;&gt;""),"This type takes no qualifier",IF(AND(J139&lt;&gt;"",VLOOKUP(C139,Codes!$J$8:$O$117,6,FALSE)&lt;&gt;"-",ISERROR(SEARCH(", "&amp;J139&amp;",",", "&amp;VLOOKUP(C139,Codes!$J$8:$O$117,6,FALSE)&amp;","))),"Qualifier not in allowed list",IF(COUNTIF($M$5:$M$304,M139)&gt;1,"Duplicate name","OK")))))))))</f>
        <v/>
      </c>
      <c r="O139" s="10"/>
      <c r="P139" s="10"/>
      <c r="Q139" s="10"/>
    </row>
    <row r="140" spans="1:17" x14ac:dyDescent="0.25">
      <c r="A140" s="10"/>
      <c r="B140" s="10"/>
      <c r="C140" s="10"/>
      <c r="D140" s="15" t="str">
        <f>IF(C140="","",IFERROR(VLOOKUP(C140,Codes!$J$8:$O$117,2,FALSE),"Unknown type"))</f>
        <v/>
      </c>
      <c r="E140" s="10"/>
      <c r="F140" s="10"/>
      <c r="G140" s="10"/>
      <c r="H140" s="10"/>
      <c r="I140" s="10"/>
      <c r="J140" s="10"/>
      <c r="K140" s="16" t="str">
        <f>IF(C140="","",IFERROR(VLOOKUP(C140,Codes!$J$8:$O$117,6,FALSE),""))</f>
        <v/>
      </c>
      <c r="L140" s="10"/>
      <c r="M140" s="14" t="str">
        <f>IF(C140="","",LOWER(Codes!$B$4&amp;"-"&amp;G140&amp;IF(H140="","","-"&amp;H140)&amp;"-"&amp;C140&amp;"-"&amp;I140&amp;IF(J140="","","-"&amp;J140)&amp;"-"&amp;IF(L140="","01",TEXT(L140,"00"))))</f>
        <v/>
      </c>
      <c r="N140" s="15" t="str">
        <f>IF(C140="","",IF(ISNA(MATCH(C140,Codes!$J$8:$J$117,0)),"Unknown type code",IF(OR(G140="",I140=""),"Env and app required",IF(AND(VLOOKUP(C140,Codes!$J$8:$O$117,4,FALSE)="Global",H140&lt;&gt;""),"Global type: leave region blank",IF(AND(VLOOKUP(C140,Codes!$J$8:$O$117,4,FALSE)&lt;&gt;"Global",H140=""),"Region required",IF(AND(VLOOKUP(C140,Codes!$J$8:$O$117,5,FALSE)="Required",J140=""),"Qualifier required",IF(AND(VLOOKUP(C140,Codes!$J$8:$O$117,5,FALSE)="None",J140&lt;&gt;""),"This type takes no qualifier",IF(AND(J140&lt;&gt;"",VLOOKUP(C140,Codes!$J$8:$O$117,6,FALSE)&lt;&gt;"-",ISERROR(SEARCH(", "&amp;J140&amp;",",", "&amp;VLOOKUP(C140,Codes!$J$8:$O$117,6,FALSE)&amp;","))),"Qualifier not in allowed list",IF(COUNTIF($M$5:$M$304,M140)&gt;1,"Duplicate name","OK")))))))))</f>
        <v/>
      </c>
      <c r="O140" s="10"/>
      <c r="P140" s="10"/>
      <c r="Q140" s="10"/>
    </row>
    <row r="141" spans="1:17" x14ac:dyDescent="0.25">
      <c r="A141" s="10"/>
      <c r="B141" s="10"/>
      <c r="C141" s="10"/>
      <c r="D141" s="15" t="str">
        <f>IF(C141="","",IFERROR(VLOOKUP(C141,Codes!$J$8:$O$117,2,FALSE),"Unknown type"))</f>
        <v/>
      </c>
      <c r="E141" s="10"/>
      <c r="F141" s="10"/>
      <c r="G141" s="10"/>
      <c r="H141" s="10"/>
      <c r="I141" s="10"/>
      <c r="J141" s="10"/>
      <c r="K141" s="16" t="str">
        <f>IF(C141="","",IFERROR(VLOOKUP(C141,Codes!$J$8:$O$117,6,FALSE),""))</f>
        <v/>
      </c>
      <c r="L141" s="10"/>
      <c r="M141" s="14" t="str">
        <f>IF(C141="","",LOWER(Codes!$B$4&amp;"-"&amp;G141&amp;IF(H141="","","-"&amp;H141)&amp;"-"&amp;C141&amp;"-"&amp;I141&amp;IF(J141="","","-"&amp;J141)&amp;"-"&amp;IF(L141="","01",TEXT(L141,"00"))))</f>
        <v/>
      </c>
      <c r="N141" s="15" t="str">
        <f>IF(C141="","",IF(ISNA(MATCH(C141,Codes!$J$8:$J$117,0)),"Unknown type code",IF(OR(G141="",I141=""),"Env and app required",IF(AND(VLOOKUP(C141,Codes!$J$8:$O$117,4,FALSE)="Global",H141&lt;&gt;""),"Global type: leave region blank",IF(AND(VLOOKUP(C141,Codes!$J$8:$O$117,4,FALSE)&lt;&gt;"Global",H141=""),"Region required",IF(AND(VLOOKUP(C141,Codes!$J$8:$O$117,5,FALSE)="Required",J141=""),"Qualifier required",IF(AND(VLOOKUP(C141,Codes!$J$8:$O$117,5,FALSE)="None",J141&lt;&gt;""),"This type takes no qualifier",IF(AND(J141&lt;&gt;"",VLOOKUP(C141,Codes!$J$8:$O$117,6,FALSE)&lt;&gt;"-",ISERROR(SEARCH(", "&amp;J141&amp;",",", "&amp;VLOOKUP(C141,Codes!$J$8:$O$117,6,FALSE)&amp;","))),"Qualifier not in allowed list",IF(COUNTIF($M$5:$M$304,M141)&gt;1,"Duplicate name","OK")))))))))</f>
        <v/>
      </c>
      <c r="O141" s="10"/>
      <c r="P141" s="10"/>
      <c r="Q141" s="10"/>
    </row>
    <row r="142" spans="1:17" x14ac:dyDescent="0.25">
      <c r="A142" s="10"/>
      <c r="B142" s="10"/>
      <c r="C142" s="10"/>
      <c r="D142" s="15" t="str">
        <f>IF(C142="","",IFERROR(VLOOKUP(C142,Codes!$J$8:$O$117,2,FALSE),"Unknown type"))</f>
        <v/>
      </c>
      <c r="E142" s="10"/>
      <c r="F142" s="10"/>
      <c r="G142" s="10"/>
      <c r="H142" s="10"/>
      <c r="I142" s="10"/>
      <c r="J142" s="10"/>
      <c r="K142" s="16" t="str">
        <f>IF(C142="","",IFERROR(VLOOKUP(C142,Codes!$J$8:$O$117,6,FALSE),""))</f>
        <v/>
      </c>
      <c r="L142" s="10"/>
      <c r="M142" s="14" t="str">
        <f>IF(C142="","",LOWER(Codes!$B$4&amp;"-"&amp;G142&amp;IF(H142="","","-"&amp;H142)&amp;"-"&amp;C142&amp;"-"&amp;I142&amp;IF(J142="","","-"&amp;J142)&amp;"-"&amp;IF(L142="","01",TEXT(L142,"00"))))</f>
        <v/>
      </c>
      <c r="N142" s="15" t="str">
        <f>IF(C142="","",IF(ISNA(MATCH(C142,Codes!$J$8:$J$117,0)),"Unknown type code",IF(OR(G142="",I142=""),"Env and app required",IF(AND(VLOOKUP(C142,Codes!$J$8:$O$117,4,FALSE)="Global",H142&lt;&gt;""),"Global type: leave region blank",IF(AND(VLOOKUP(C142,Codes!$J$8:$O$117,4,FALSE)&lt;&gt;"Global",H142=""),"Region required",IF(AND(VLOOKUP(C142,Codes!$J$8:$O$117,5,FALSE)="Required",J142=""),"Qualifier required",IF(AND(VLOOKUP(C142,Codes!$J$8:$O$117,5,FALSE)="None",J142&lt;&gt;""),"This type takes no qualifier",IF(AND(J142&lt;&gt;"",VLOOKUP(C142,Codes!$J$8:$O$117,6,FALSE)&lt;&gt;"-",ISERROR(SEARCH(", "&amp;J142&amp;",",", "&amp;VLOOKUP(C142,Codes!$J$8:$O$117,6,FALSE)&amp;","))),"Qualifier not in allowed list",IF(COUNTIF($M$5:$M$304,M142)&gt;1,"Duplicate name","OK")))))))))</f>
        <v/>
      </c>
      <c r="O142" s="10"/>
      <c r="P142" s="10"/>
      <c r="Q142" s="10"/>
    </row>
    <row r="143" spans="1:17" x14ac:dyDescent="0.25">
      <c r="A143" s="10"/>
      <c r="B143" s="10"/>
      <c r="C143" s="10"/>
      <c r="D143" s="15" t="str">
        <f>IF(C143="","",IFERROR(VLOOKUP(C143,Codes!$J$8:$O$117,2,FALSE),"Unknown type"))</f>
        <v/>
      </c>
      <c r="E143" s="10"/>
      <c r="F143" s="10"/>
      <c r="G143" s="10"/>
      <c r="H143" s="10"/>
      <c r="I143" s="10"/>
      <c r="J143" s="10"/>
      <c r="K143" s="16" t="str">
        <f>IF(C143="","",IFERROR(VLOOKUP(C143,Codes!$J$8:$O$117,6,FALSE),""))</f>
        <v/>
      </c>
      <c r="L143" s="10"/>
      <c r="M143" s="14" t="str">
        <f>IF(C143="","",LOWER(Codes!$B$4&amp;"-"&amp;G143&amp;IF(H143="","","-"&amp;H143)&amp;"-"&amp;C143&amp;"-"&amp;I143&amp;IF(J143="","","-"&amp;J143)&amp;"-"&amp;IF(L143="","01",TEXT(L143,"00"))))</f>
        <v/>
      </c>
      <c r="N143" s="15" t="str">
        <f>IF(C143="","",IF(ISNA(MATCH(C143,Codes!$J$8:$J$117,0)),"Unknown type code",IF(OR(G143="",I143=""),"Env and app required",IF(AND(VLOOKUP(C143,Codes!$J$8:$O$117,4,FALSE)="Global",H143&lt;&gt;""),"Global type: leave region blank",IF(AND(VLOOKUP(C143,Codes!$J$8:$O$117,4,FALSE)&lt;&gt;"Global",H143=""),"Region required",IF(AND(VLOOKUP(C143,Codes!$J$8:$O$117,5,FALSE)="Required",J143=""),"Qualifier required",IF(AND(VLOOKUP(C143,Codes!$J$8:$O$117,5,FALSE)="None",J143&lt;&gt;""),"This type takes no qualifier",IF(AND(J143&lt;&gt;"",VLOOKUP(C143,Codes!$J$8:$O$117,6,FALSE)&lt;&gt;"-",ISERROR(SEARCH(", "&amp;J143&amp;",",", "&amp;VLOOKUP(C143,Codes!$J$8:$O$117,6,FALSE)&amp;","))),"Qualifier not in allowed list",IF(COUNTIF($M$5:$M$304,M143)&gt;1,"Duplicate name","OK")))))))))</f>
        <v/>
      </c>
      <c r="O143" s="10"/>
      <c r="P143" s="10"/>
      <c r="Q143" s="10"/>
    </row>
    <row r="144" spans="1:17" x14ac:dyDescent="0.25">
      <c r="A144" s="10"/>
      <c r="B144" s="10"/>
      <c r="C144" s="10"/>
      <c r="D144" s="15" t="str">
        <f>IF(C144="","",IFERROR(VLOOKUP(C144,Codes!$J$8:$O$117,2,FALSE),"Unknown type"))</f>
        <v/>
      </c>
      <c r="E144" s="10"/>
      <c r="F144" s="10"/>
      <c r="G144" s="10"/>
      <c r="H144" s="10"/>
      <c r="I144" s="10"/>
      <c r="J144" s="10"/>
      <c r="K144" s="16" t="str">
        <f>IF(C144="","",IFERROR(VLOOKUP(C144,Codes!$J$8:$O$117,6,FALSE),""))</f>
        <v/>
      </c>
      <c r="L144" s="10"/>
      <c r="M144" s="14" t="str">
        <f>IF(C144="","",LOWER(Codes!$B$4&amp;"-"&amp;G144&amp;IF(H144="","","-"&amp;H144)&amp;"-"&amp;C144&amp;"-"&amp;I144&amp;IF(J144="","","-"&amp;J144)&amp;"-"&amp;IF(L144="","01",TEXT(L144,"00"))))</f>
        <v/>
      </c>
      <c r="N144" s="15" t="str">
        <f>IF(C144="","",IF(ISNA(MATCH(C144,Codes!$J$8:$J$117,0)),"Unknown type code",IF(OR(G144="",I144=""),"Env and app required",IF(AND(VLOOKUP(C144,Codes!$J$8:$O$117,4,FALSE)="Global",H144&lt;&gt;""),"Global type: leave region blank",IF(AND(VLOOKUP(C144,Codes!$J$8:$O$117,4,FALSE)&lt;&gt;"Global",H144=""),"Region required",IF(AND(VLOOKUP(C144,Codes!$J$8:$O$117,5,FALSE)="Required",J144=""),"Qualifier required",IF(AND(VLOOKUP(C144,Codes!$J$8:$O$117,5,FALSE)="None",J144&lt;&gt;""),"This type takes no qualifier",IF(AND(J144&lt;&gt;"",VLOOKUP(C144,Codes!$J$8:$O$117,6,FALSE)&lt;&gt;"-",ISERROR(SEARCH(", "&amp;J144&amp;",",", "&amp;VLOOKUP(C144,Codes!$J$8:$O$117,6,FALSE)&amp;","))),"Qualifier not in allowed list",IF(COUNTIF($M$5:$M$304,M144)&gt;1,"Duplicate name","OK")))))))))</f>
        <v/>
      </c>
      <c r="O144" s="10"/>
      <c r="P144" s="10"/>
      <c r="Q144" s="10"/>
    </row>
    <row r="145" spans="1:17" x14ac:dyDescent="0.25">
      <c r="A145" s="10"/>
      <c r="B145" s="10"/>
      <c r="C145" s="10"/>
      <c r="D145" s="15" t="str">
        <f>IF(C145="","",IFERROR(VLOOKUP(C145,Codes!$J$8:$O$117,2,FALSE),"Unknown type"))</f>
        <v/>
      </c>
      <c r="E145" s="10"/>
      <c r="F145" s="10"/>
      <c r="G145" s="10"/>
      <c r="H145" s="10"/>
      <c r="I145" s="10"/>
      <c r="J145" s="10"/>
      <c r="K145" s="16" t="str">
        <f>IF(C145="","",IFERROR(VLOOKUP(C145,Codes!$J$8:$O$117,6,FALSE),""))</f>
        <v/>
      </c>
      <c r="L145" s="10"/>
      <c r="M145" s="14" t="str">
        <f>IF(C145="","",LOWER(Codes!$B$4&amp;"-"&amp;G145&amp;IF(H145="","","-"&amp;H145)&amp;"-"&amp;C145&amp;"-"&amp;I145&amp;IF(J145="","","-"&amp;J145)&amp;"-"&amp;IF(L145="","01",TEXT(L145,"00"))))</f>
        <v/>
      </c>
      <c r="N145" s="15" t="str">
        <f>IF(C145="","",IF(ISNA(MATCH(C145,Codes!$J$8:$J$117,0)),"Unknown type code",IF(OR(G145="",I145=""),"Env and app required",IF(AND(VLOOKUP(C145,Codes!$J$8:$O$117,4,FALSE)="Global",H145&lt;&gt;""),"Global type: leave region blank",IF(AND(VLOOKUP(C145,Codes!$J$8:$O$117,4,FALSE)&lt;&gt;"Global",H145=""),"Region required",IF(AND(VLOOKUP(C145,Codes!$J$8:$O$117,5,FALSE)="Required",J145=""),"Qualifier required",IF(AND(VLOOKUP(C145,Codes!$J$8:$O$117,5,FALSE)="None",J145&lt;&gt;""),"This type takes no qualifier",IF(AND(J145&lt;&gt;"",VLOOKUP(C145,Codes!$J$8:$O$117,6,FALSE)&lt;&gt;"-",ISERROR(SEARCH(", "&amp;J145&amp;",",", "&amp;VLOOKUP(C145,Codes!$J$8:$O$117,6,FALSE)&amp;","))),"Qualifier not in allowed list",IF(COUNTIF($M$5:$M$304,M145)&gt;1,"Duplicate name","OK")))))))))</f>
        <v/>
      </c>
      <c r="O145" s="10"/>
      <c r="P145" s="10"/>
      <c r="Q145" s="10"/>
    </row>
    <row r="146" spans="1:17" x14ac:dyDescent="0.25">
      <c r="A146" s="10"/>
      <c r="B146" s="10"/>
      <c r="C146" s="10"/>
      <c r="D146" s="15" t="str">
        <f>IF(C146="","",IFERROR(VLOOKUP(C146,Codes!$J$8:$O$117,2,FALSE),"Unknown type"))</f>
        <v/>
      </c>
      <c r="E146" s="10"/>
      <c r="F146" s="10"/>
      <c r="G146" s="10"/>
      <c r="H146" s="10"/>
      <c r="I146" s="10"/>
      <c r="J146" s="10"/>
      <c r="K146" s="16" t="str">
        <f>IF(C146="","",IFERROR(VLOOKUP(C146,Codes!$J$8:$O$117,6,FALSE),""))</f>
        <v/>
      </c>
      <c r="L146" s="10"/>
      <c r="M146" s="14" t="str">
        <f>IF(C146="","",LOWER(Codes!$B$4&amp;"-"&amp;G146&amp;IF(H146="","","-"&amp;H146)&amp;"-"&amp;C146&amp;"-"&amp;I146&amp;IF(J146="","","-"&amp;J146)&amp;"-"&amp;IF(L146="","01",TEXT(L146,"00"))))</f>
        <v/>
      </c>
      <c r="N146" s="15" t="str">
        <f>IF(C146="","",IF(ISNA(MATCH(C146,Codes!$J$8:$J$117,0)),"Unknown type code",IF(OR(G146="",I146=""),"Env and app required",IF(AND(VLOOKUP(C146,Codes!$J$8:$O$117,4,FALSE)="Global",H146&lt;&gt;""),"Global type: leave region blank",IF(AND(VLOOKUP(C146,Codes!$J$8:$O$117,4,FALSE)&lt;&gt;"Global",H146=""),"Region required",IF(AND(VLOOKUP(C146,Codes!$J$8:$O$117,5,FALSE)="Required",J146=""),"Qualifier required",IF(AND(VLOOKUP(C146,Codes!$J$8:$O$117,5,FALSE)="None",J146&lt;&gt;""),"This type takes no qualifier",IF(AND(J146&lt;&gt;"",VLOOKUP(C146,Codes!$J$8:$O$117,6,FALSE)&lt;&gt;"-",ISERROR(SEARCH(", "&amp;J146&amp;",",", "&amp;VLOOKUP(C146,Codes!$J$8:$O$117,6,FALSE)&amp;","))),"Qualifier not in allowed list",IF(COUNTIF($M$5:$M$304,M146)&gt;1,"Duplicate name","OK")))))))))</f>
        <v/>
      </c>
      <c r="O146" s="10"/>
      <c r="P146" s="10"/>
      <c r="Q146" s="10"/>
    </row>
    <row r="147" spans="1:17" x14ac:dyDescent="0.25">
      <c r="A147" s="10"/>
      <c r="B147" s="10"/>
      <c r="C147" s="10"/>
      <c r="D147" s="15" t="str">
        <f>IF(C147="","",IFERROR(VLOOKUP(C147,Codes!$J$8:$O$117,2,FALSE),"Unknown type"))</f>
        <v/>
      </c>
      <c r="E147" s="10"/>
      <c r="F147" s="10"/>
      <c r="G147" s="10"/>
      <c r="H147" s="10"/>
      <c r="I147" s="10"/>
      <c r="J147" s="10"/>
      <c r="K147" s="16" t="str">
        <f>IF(C147="","",IFERROR(VLOOKUP(C147,Codes!$J$8:$O$117,6,FALSE),""))</f>
        <v/>
      </c>
      <c r="L147" s="10"/>
      <c r="M147" s="14" t="str">
        <f>IF(C147="","",LOWER(Codes!$B$4&amp;"-"&amp;G147&amp;IF(H147="","","-"&amp;H147)&amp;"-"&amp;C147&amp;"-"&amp;I147&amp;IF(J147="","","-"&amp;J147)&amp;"-"&amp;IF(L147="","01",TEXT(L147,"00"))))</f>
        <v/>
      </c>
      <c r="N147" s="15" t="str">
        <f>IF(C147="","",IF(ISNA(MATCH(C147,Codes!$J$8:$J$117,0)),"Unknown type code",IF(OR(G147="",I147=""),"Env and app required",IF(AND(VLOOKUP(C147,Codes!$J$8:$O$117,4,FALSE)="Global",H147&lt;&gt;""),"Global type: leave region blank",IF(AND(VLOOKUP(C147,Codes!$J$8:$O$117,4,FALSE)&lt;&gt;"Global",H147=""),"Region required",IF(AND(VLOOKUP(C147,Codes!$J$8:$O$117,5,FALSE)="Required",J147=""),"Qualifier required",IF(AND(VLOOKUP(C147,Codes!$J$8:$O$117,5,FALSE)="None",J147&lt;&gt;""),"This type takes no qualifier",IF(AND(J147&lt;&gt;"",VLOOKUP(C147,Codes!$J$8:$O$117,6,FALSE)&lt;&gt;"-",ISERROR(SEARCH(", "&amp;J147&amp;",",", "&amp;VLOOKUP(C147,Codes!$J$8:$O$117,6,FALSE)&amp;","))),"Qualifier not in allowed list",IF(COUNTIF($M$5:$M$304,M147)&gt;1,"Duplicate name","OK")))))))))</f>
        <v/>
      </c>
      <c r="O147" s="10"/>
      <c r="P147" s="10"/>
      <c r="Q147" s="10"/>
    </row>
    <row r="148" spans="1:17" x14ac:dyDescent="0.25">
      <c r="A148" s="10"/>
      <c r="B148" s="10"/>
      <c r="C148" s="10"/>
      <c r="D148" s="15" t="str">
        <f>IF(C148="","",IFERROR(VLOOKUP(C148,Codes!$J$8:$O$117,2,FALSE),"Unknown type"))</f>
        <v/>
      </c>
      <c r="E148" s="10"/>
      <c r="F148" s="10"/>
      <c r="G148" s="10"/>
      <c r="H148" s="10"/>
      <c r="I148" s="10"/>
      <c r="J148" s="10"/>
      <c r="K148" s="16" t="str">
        <f>IF(C148="","",IFERROR(VLOOKUP(C148,Codes!$J$8:$O$117,6,FALSE),""))</f>
        <v/>
      </c>
      <c r="L148" s="10"/>
      <c r="M148" s="14" t="str">
        <f>IF(C148="","",LOWER(Codes!$B$4&amp;"-"&amp;G148&amp;IF(H148="","","-"&amp;H148)&amp;"-"&amp;C148&amp;"-"&amp;I148&amp;IF(J148="","","-"&amp;J148)&amp;"-"&amp;IF(L148="","01",TEXT(L148,"00"))))</f>
        <v/>
      </c>
      <c r="N148" s="15" t="str">
        <f>IF(C148="","",IF(ISNA(MATCH(C148,Codes!$J$8:$J$117,0)),"Unknown type code",IF(OR(G148="",I148=""),"Env and app required",IF(AND(VLOOKUP(C148,Codes!$J$8:$O$117,4,FALSE)="Global",H148&lt;&gt;""),"Global type: leave region blank",IF(AND(VLOOKUP(C148,Codes!$J$8:$O$117,4,FALSE)&lt;&gt;"Global",H148=""),"Region required",IF(AND(VLOOKUP(C148,Codes!$J$8:$O$117,5,FALSE)="Required",J148=""),"Qualifier required",IF(AND(VLOOKUP(C148,Codes!$J$8:$O$117,5,FALSE)="None",J148&lt;&gt;""),"This type takes no qualifier",IF(AND(J148&lt;&gt;"",VLOOKUP(C148,Codes!$J$8:$O$117,6,FALSE)&lt;&gt;"-",ISERROR(SEARCH(", "&amp;J148&amp;",",", "&amp;VLOOKUP(C148,Codes!$J$8:$O$117,6,FALSE)&amp;","))),"Qualifier not in allowed list",IF(COUNTIF($M$5:$M$304,M148)&gt;1,"Duplicate name","OK")))))))))</f>
        <v/>
      </c>
      <c r="O148" s="10"/>
      <c r="P148" s="10"/>
      <c r="Q148" s="10"/>
    </row>
    <row r="149" spans="1:17" x14ac:dyDescent="0.25">
      <c r="A149" s="10"/>
      <c r="B149" s="10"/>
      <c r="C149" s="10"/>
      <c r="D149" s="15" t="str">
        <f>IF(C149="","",IFERROR(VLOOKUP(C149,Codes!$J$8:$O$117,2,FALSE),"Unknown type"))</f>
        <v/>
      </c>
      <c r="E149" s="10"/>
      <c r="F149" s="10"/>
      <c r="G149" s="10"/>
      <c r="H149" s="10"/>
      <c r="I149" s="10"/>
      <c r="J149" s="10"/>
      <c r="K149" s="16" t="str">
        <f>IF(C149="","",IFERROR(VLOOKUP(C149,Codes!$J$8:$O$117,6,FALSE),""))</f>
        <v/>
      </c>
      <c r="L149" s="10"/>
      <c r="M149" s="14" t="str">
        <f>IF(C149="","",LOWER(Codes!$B$4&amp;"-"&amp;G149&amp;IF(H149="","","-"&amp;H149)&amp;"-"&amp;C149&amp;"-"&amp;I149&amp;IF(J149="","","-"&amp;J149)&amp;"-"&amp;IF(L149="","01",TEXT(L149,"00"))))</f>
        <v/>
      </c>
      <c r="N149" s="15" t="str">
        <f>IF(C149="","",IF(ISNA(MATCH(C149,Codes!$J$8:$J$117,0)),"Unknown type code",IF(OR(G149="",I149=""),"Env and app required",IF(AND(VLOOKUP(C149,Codes!$J$8:$O$117,4,FALSE)="Global",H149&lt;&gt;""),"Global type: leave region blank",IF(AND(VLOOKUP(C149,Codes!$J$8:$O$117,4,FALSE)&lt;&gt;"Global",H149=""),"Region required",IF(AND(VLOOKUP(C149,Codes!$J$8:$O$117,5,FALSE)="Required",J149=""),"Qualifier required",IF(AND(VLOOKUP(C149,Codes!$J$8:$O$117,5,FALSE)="None",J149&lt;&gt;""),"This type takes no qualifier",IF(AND(J149&lt;&gt;"",VLOOKUP(C149,Codes!$J$8:$O$117,6,FALSE)&lt;&gt;"-",ISERROR(SEARCH(", "&amp;J149&amp;",",", "&amp;VLOOKUP(C149,Codes!$J$8:$O$117,6,FALSE)&amp;","))),"Qualifier not in allowed list",IF(COUNTIF($M$5:$M$304,M149)&gt;1,"Duplicate name","OK")))))))))</f>
        <v/>
      </c>
      <c r="O149" s="10"/>
      <c r="P149" s="10"/>
      <c r="Q149" s="10"/>
    </row>
    <row r="150" spans="1:17" x14ac:dyDescent="0.25">
      <c r="A150" s="10"/>
      <c r="B150" s="10"/>
      <c r="C150" s="10"/>
      <c r="D150" s="15" t="str">
        <f>IF(C150="","",IFERROR(VLOOKUP(C150,Codes!$J$8:$O$117,2,FALSE),"Unknown type"))</f>
        <v/>
      </c>
      <c r="E150" s="10"/>
      <c r="F150" s="10"/>
      <c r="G150" s="10"/>
      <c r="H150" s="10"/>
      <c r="I150" s="10"/>
      <c r="J150" s="10"/>
      <c r="K150" s="16" t="str">
        <f>IF(C150="","",IFERROR(VLOOKUP(C150,Codes!$J$8:$O$117,6,FALSE),""))</f>
        <v/>
      </c>
      <c r="L150" s="10"/>
      <c r="M150" s="14" t="str">
        <f>IF(C150="","",LOWER(Codes!$B$4&amp;"-"&amp;G150&amp;IF(H150="","","-"&amp;H150)&amp;"-"&amp;C150&amp;"-"&amp;I150&amp;IF(J150="","","-"&amp;J150)&amp;"-"&amp;IF(L150="","01",TEXT(L150,"00"))))</f>
        <v/>
      </c>
      <c r="N150" s="15" t="str">
        <f>IF(C150="","",IF(ISNA(MATCH(C150,Codes!$J$8:$J$117,0)),"Unknown type code",IF(OR(G150="",I150=""),"Env and app required",IF(AND(VLOOKUP(C150,Codes!$J$8:$O$117,4,FALSE)="Global",H150&lt;&gt;""),"Global type: leave region blank",IF(AND(VLOOKUP(C150,Codes!$J$8:$O$117,4,FALSE)&lt;&gt;"Global",H150=""),"Region required",IF(AND(VLOOKUP(C150,Codes!$J$8:$O$117,5,FALSE)="Required",J150=""),"Qualifier required",IF(AND(VLOOKUP(C150,Codes!$J$8:$O$117,5,FALSE)="None",J150&lt;&gt;""),"This type takes no qualifier",IF(AND(J150&lt;&gt;"",VLOOKUP(C150,Codes!$J$8:$O$117,6,FALSE)&lt;&gt;"-",ISERROR(SEARCH(", "&amp;J150&amp;",",", "&amp;VLOOKUP(C150,Codes!$J$8:$O$117,6,FALSE)&amp;","))),"Qualifier not in allowed list",IF(COUNTIF($M$5:$M$304,M150)&gt;1,"Duplicate name","OK")))))))))</f>
        <v/>
      </c>
      <c r="O150" s="10"/>
      <c r="P150" s="10"/>
      <c r="Q150" s="10"/>
    </row>
    <row r="151" spans="1:17" x14ac:dyDescent="0.25">
      <c r="A151" s="10"/>
      <c r="B151" s="10"/>
      <c r="C151" s="10"/>
      <c r="D151" s="15" t="str">
        <f>IF(C151="","",IFERROR(VLOOKUP(C151,Codes!$J$8:$O$117,2,FALSE),"Unknown type"))</f>
        <v/>
      </c>
      <c r="E151" s="10"/>
      <c r="F151" s="10"/>
      <c r="G151" s="10"/>
      <c r="H151" s="10"/>
      <c r="I151" s="10"/>
      <c r="J151" s="10"/>
      <c r="K151" s="16" t="str">
        <f>IF(C151="","",IFERROR(VLOOKUP(C151,Codes!$J$8:$O$117,6,FALSE),""))</f>
        <v/>
      </c>
      <c r="L151" s="10"/>
      <c r="M151" s="14" t="str">
        <f>IF(C151="","",LOWER(Codes!$B$4&amp;"-"&amp;G151&amp;IF(H151="","","-"&amp;H151)&amp;"-"&amp;C151&amp;"-"&amp;I151&amp;IF(J151="","","-"&amp;J151)&amp;"-"&amp;IF(L151="","01",TEXT(L151,"00"))))</f>
        <v/>
      </c>
      <c r="N151" s="15" t="str">
        <f>IF(C151="","",IF(ISNA(MATCH(C151,Codes!$J$8:$J$117,0)),"Unknown type code",IF(OR(G151="",I151=""),"Env and app required",IF(AND(VLOOKUP(C151,Codes!$J$8:$O$117,4,FALSE)="Global",H151&lt;&gt;""),"Global type: leave region blank",IF(AND(VLOOKUP(C151,Codes!$J$8:$O$117,4,FALSE)&lt;&gt;"Global",H151=""),"Region required",IF(AND(VLOOKUP(C151,Codes!$J$8:$O$117,5,FALSE)="Required",J151=""),"Qualifier required",IF(AND(VLOOKUP(C151,Codes!$J$8:$O$117,5,FALSE)="None",J151&lt;&gt;""),"This type takes no qualifier",IF(AND(J151&lt;&gt;"",VLOOKUP(C151,Codes!$J$8:$O$117,6,FALSE)&lt;&gt;"-",ISERROR(SEARCH(", "&amp;J151&amp;",",", "&amp;VLOOKUP(C151,Codes!$J$8:$O$117,6,FALSE)&amp;","))),"Qualifier not in allowed list",IF(COUNTIF($M$5:$M$304,M151)&gt;1,"Duplicate name","OK")))))))))</f>
        <v/>
      </c>
      <c r="O151" s="10"/>
      <c r="P151" s="10"/>
      <c r="Q151" s="10"/>
    </row>
    <row r="152" spans="1:17" x14ac:dyDescent="0.25">
      <c r="A152" s="10"/>
      <c r="B152" s="10"/>
      <c r="C152" s="10"/>
      <c r="D152" s="15" t="str">
        <f>IF(C152="","",IFERROR(VLOOKUP(C152,Codes!$J$8:$O$117,2,FALSE),"Unknown type"))</f>
        <v/>
      </c>
      <c r="E152" s="10"/>
      <c r="F152" s="10"/>
      <c r="G152" s="10"/>
      <c r="H152" s="10"/>
      <c r="I152" s="10"/>
      <c r="J152" s="10"/>
      <c r="K152" s="16" t="str">
        <f>IF(C152="","",IFERROR(VLOOKUP(C152,Codes!$J$8:$O$117,6,FALSE),""))</f>
        <v/>
      </c>
      <c r="L152" s="10"/>
      <c r="M152" s="14" t="str">
        <f>IF(C152="","",LOWER(Codes!$B$4&amp;"-"&amp;G152&amp;IF(H152="","","-"&amp;H152)&amp;"-"&amp;C152&amp;"-"&amp;I152&amp;IF(J152="","","-"&amp;J152)&amp;"-"&amp;IF(L152="","01",TEXT(L152,"00"))))</f>
        <v/>
      </c>
      <c r="N152" s="15" t="str">
        <f>IF(C152="","",IF(ISNA(MATCH(C152,Codes!$J$8:$J$117,0)),"Unknown type code",IF(OR(G152="",I152=""),"Env and app required",IF(AND(VLOOKUP(C152,Codes!$J$8:$O$117,4,FALSE)="Global",H152&lt;&gt;""),"Global type: leave region blank",IF(AND(VLOOKUP(C152,Codes!$J$8:$O$117,4,FALSE)&lt;&gt;"Global",H152=""),"Region required",IF(AND(VLOOKUP(C152,Codes!$J$8:$O$117,5,FALSE)="Required",J152=""),"Qualifier required",IF(AND(VLOOKUP(C152,Codes!$J$8:$O$117,5,FALSE)="None",J152&lt;&gt;""),"This type takes no qualifier",IF(AND(J152&lt;&gt;"",VLOOKUP(C152,Codes!$J$8:$O$117,6,FALSE)&lt;&gt;"-",ISERROR(SEARCH(", "&amp;J152&amp;",",", "&amp;VLOOKUP(C152,Codes!$J$8:$O$117,6,FALSE)&amp;","))),"Qualifier not in allowed list",IF(COUNTIF($M$5:$M$304,M152)&gt;1,"Duplicate name","OK")))))))))</f>
        <v/>
      </c>
      <c r="O152" s="10"/>
      <c r="P152" s="10"/>
      <c r="Q152" s="10"/>
    </row>
    <row r="153" spans="1:17" x14ac:dyDescent="0.25">
      <c r="A153" s="10"/>
      <c r="B153" s="10"/>
      <c r="C153" s="10"/>
      <c r="D153" s="15" t="str">
        <f>IF(C153="","",IFERROR(VLOOKUP(C153,Codes!$J$8:$O$117,2,FALSE),"Unknown type"))</f>
        <v/>
      </c>
      <c r="E153" s="10"/>
      <c r="F153" s="10"/>
      <c r="G153" s="10"/>
      <c r="H153" s="10"/>
      <c r="I153" s="10"/>
      <c r="J153" s="10"/>
      <c r="K153" s="16" t="str">
        <f>IF(C153="","",IFERROR(VLOOKUP(C153,Codes!$J$8:$O$117,6,FALSE),""))</f>
        <v/>
      </c>
      <c r="L153" s="10"/>
      <c r="M153" s="14" t="str">
        <f>IF(C153="","",LOWER(Codes!$B$4&amp;"-"&amp;G153&amp;IF(H153="","","-"&amp;H153)&amp;"-"&amp;C153&amp;"-"&amp;I153&amp;IF(J153="","","-"&amp;J153)&amp;"-"&amp;IF(L153="","01",TEXT(L153,"00"))))</f>
        <v/>
      </c>
      <c r="N153" s="15" t="str">
        <f>IF(C153="","",IF(ISNA(MATCH(C153,Codes!$J$8:$J$117,0)),"Unknown type code",IF(OR(G153="",I153=""),"Env and app required",IF(AND(VLOOKUP(C153,Codes!$J$8:$O$117,4,FALSE)="Global",H153&lt;&gt;""),"Global type: leave region blank",IF(AND(VLOOKUP(C153,Codes!$J$8:$O$117,4,FALSE)&lt;&gt;"Global",H153=""),"Region required",IF(AND(VLOOKUP(C153,Codes!$J$8:$O$117,5,FALSE)="Required",J153=""),"Qualifier required",IF(AND(VLOOKUP(C153,Codes!$J$8:$O$117,5,FALSE)="None",J153&lt;&gt;""),"This type takes no qualifier",IF(AND(J153&lt;&gt;"",VLOOKUP(C153,Codes!$J$8:$O$117,6,FALSE)&lt;&gt;"-",ISERROR(SEARCH(", "&amp;J153&amp;",",", "&amp;VLOOKUP(C153,Codes!$J$8:$O$117,6,FALSE)&amp;","))),"Qualifier not in allowed list",IF(COUNTIF($M$5:$M$304,M153)&gt;1,"Duplicate name","OK")))))))))</f>
        <v/>
      </c>
      <c r="O153" s="10"/>
      <c r="P153" s="10"/>
      <c r="Q153" s="10"/>
    </row>
    <row r="154" spans="1:17" x14ac:dyDescent="0.25">
      <c r="A154" s="10"/>
      <c r="B154" s="10"/>
      <c r="C154" s="10"/>
      <c r="D154" s="15" t="str">
        <f>IF(C154="","",IFERROR(VLOOKUP(C154,Codes!$J$8:$O$117,2,FALSE),"Unknown type"))</f>
        <v/>
      </c>
      <c r="E154" s="10"/>
      <c r="F154" s="10"/>
      <c r="G154" s="10"/>
      <c r="H154" s="10"/>
      <c r="I154" s="10"/>
      <c r="J154" s="10"/>
      <c r="K154" s="16" t="str">
        <f>IF(C154="","",IFERROR(VLOOKUP(C154,Codes!$J$8:$O$117,6,FALSE),""))</f>
        <v/>
      </c>
      <c r="L154" s="10"/>
      <c r="M154" s="14" t="str">
        <f>IF(C154="","",LOWER(Codes!$B$4&amp;"-"&amp;G154&amp;IF(H154="","","-"&amp;H154)&amp;"-"&amp;C154&amp;"-"&amp;I154&amp;IF(J154="","","-"&amp;J154)&amp;"-"&amp;IF(L154="","01",TEXT(L154,"00"))))</f>
        <v/>
      </c>
      <c r="N154" s="15" t="str">
        <f>IF(C154="","",IF(ISNA(MATCH(C154,Codes!$J$8:$J$117,0)),"Unknown type code",IF(OR(G154="",I154=""),"Env and app required",IF(AND(VLOOKUP(C154,Codes!$J$8:$O$117,4,FALSE)="Global",H154&lt;&gt;""),"Global type: leave region blank",IF(AND(VLOOKUP(C154,Codes!$J$8:$O$117,4,FALSE)&lt;&gt;"Global",H154=""),"Region required",IF(AND(VLOOKUP(C154,Codes!$J$8:$O$117,5,FALSE)="Required",J154=""),"Qualifier required",IF(AND(VLOOKUP(C154,Codes!$J$8:$O$117,5,FALSE)="None",J154&lt;&gt;""),"This type takes no qualifier",IF(AND(J154&lt;&gt;"",VLOOKUP(C154,Codes!$J$8:$O$117,6,FALSE)&lt;&gt;"-",ISERROR(SEARCH(", "&amp;J154&amp;",",", "&amp;VLOOKUP(C154,Codes!$J$8:$O$117,6,FALSE)&amp;","))),"Qualifier not in allowed list",IF(COUNTIF($M$5:$M$304,M154)&gt;1,"Duplicate name","OK")))))))))</f>
        <v/>
      </c>
      <c r="O154" s="10"/>
      <c r="P154" s="10"/>
      <c r="Q154" s="10"/>
    </row>
    <row r="155" spans="1:17" x14ac:dyDescent="0.25">
      <c r="A155" s="10"/>
      <c r="B155" s="10"/>
      <c r="C155" s="10"/>
      <c r="D155" s="15" t="str">
        <f>IF(C155="","",IFERROR(VLOOKUP(C155,Codes!$J$8:$O$117,2,FALSE),"Unknown type"))</f>
        <v/>
      </c>
      <c r="E155" s="10"/>
      <c r="F155" s="10"/>
      <c r="G155" s="10"/>
      <c r="H155" s="10"/>
      <c r="I155" s="10"/>
      <c r="J155" s="10"/>
      <c r="K155" s="16" t="str">
        <f>IF(C155="","",IFERROR(VLOOKUP(C155,Codes!$J$8:$O$117,6,FALSE),""))</f>
        <v/>
      </c>
      <c r="L155" s="10"/>
      <c r="M155" s="14" t="str">
        <f>IF(C155="","",LOWER(Codes!$B$4&amp;"-"&amp;G155&amp;IF(H155="","","-"&amp;H155)&amp;"-"&amp;C155&amp;"-"&amp;I155&amp;IF(J155="","","-"&amp;J155)&amp;"-"&amp;IF(L155="","01",TEXT(L155,"00"))))</f>
        <v/>
      </c>
      <c r="N155" s="15" t="str">
        <f>IF(C155="","",IF(ISNA(MATCH(C155,Codes!$J$8:$J$117,0)),"Unknown type code",IF(OR(G155="",I155=""),"Env and app required",IF(AND(VLOOKUP(C155,Codes!$J$8:$O$117,4,FALSE)="Global",H155&lt;&gt;""),"Global type: leave region blank",IF(AND(VLOOKUP(C155,Codes!$J$8:$O$117,4,FALSE)&lt;&gt;"Global",H155=""),"Region required",IF(AND(VLOOKUP(C155,Codes!$J$8:$O$117,5,FALSE)="Required",J155=""),"Qualifier required",IF(AND(VLOOKUP(C155,Codes!$J$8:$O$117,5,FALSE)="None",J155&lt;&gt;""),"This type takes no qualifier",IF(AND(J155&lt;&gt;"",VLOOKUP(C155,Codes!$J$8:$O$117,6,FALSE)&lt;&gt;"-",ISERROR(SEARCH(", "&amp;J155&amp;",",", "&amp;VLOOKUP(C155,Codes!$J$8:$O$117,6,FALSE)&amp;","))),"Qualifier not in allowed list",IF(COUNTIF($M$5:$M$304,M155)&gt;1,"Duplicate name","OK")))))))))</f>
        <v/>
      </c>
      <c r="O155" s="10"/>
      <c r="P155" s="10"/>
      <c r="Q155" s="10"/>
    </row>
    <row r="156" spans="1:17" x14ac:dyDescent="0.25">
      <c r="A156" s="10"/>
      <c r="B156" s="10"/>
      <c r="C156" s="10"/>
      <c r="D156" s="15" t="str">
        <f>IF(C156="","",IFERROR(VLOOKUP(C156,Codes!$J$8:$O$117,2,FALSE),"Unknown type"))</f>
        <v/>
      </c>
      <c r="E156" s="10"/>
      <c r="F156" s="10"/>
      <c r="G156" s="10"/>
      <c r="H156" s="10"/>
      <c r="I156" s="10"/>
      <c r="J156" s="10"/>
      <c r="K156" s="16" t="str">
        <f>IF(C156="","",IFERROR(VLOOKUP(C156,Codes!$J$8:$O$117,6,FALSE),""))</f>
        <v/>
      </c>
      <c r="L156" s="10"/>
      <c r="M156" s="14" t="str">
        <f>IF(C156="","",LOWER(Codes!$B$4&amp;"-"&amp;G156&amp;IF(H156="","","-"&amp;H156)&amp;"-"&amp;C156&amp;"-"&amp;I156&amp;IF(J156="","","-"&amp;J156)&amp;"-"&amp;IF(L156="","01",TEXT(L156,"00"))))</f>
        <v/>
      </c>
      <c r="N156" s="15" t="str">
        <f>IF(C156="","",IF(ISNA(MATCH(C156,Codes!$J$8:$J$117,0)),"Unknown type code",IF(OR(G156="",I156=""),"Env and app required",IF(AND(VLOOKUP(C156,Codes!$J$8:$O$117,4,FALSE)="Global",H156&lt;&gt;""),"Global type: leave region blank",IF(AND(VLOOKUP(C156,Codes!$J$8:$O$117,4,FALSE)&lt;&gt;"Global",H156=""),"Region required",IF(AND(VLOOKUP(C156,Codes!$J$8:$O$117,5,FALSE)="Required",J156=""),"Qualifier required",IF(AND(VLOOKUP(C156,Codes!$J$8:$O$117,5,FALSE)="None",J156&lt;&gt;""),"This type takes no qualifier",IF(AND(J156&lt;&gt;"",VLOOKUP(C156,Codes!$J$8:$O$117,6,FALSE)&lt;&gt;"-",ISERROR(SEARCH(", "&amp;J156&amp;",",", "&amp;VLOOKUP(C156,Codes!$J$8:$O$117,6,FALSE)&amp;","))),"Qualifier not in allowed list",IF(COUNTIF($M$5:$M$304,M156)&gt;1,"Duplicate name","OK")))))))))</f>
        <v/>
      </c>
      <c r="O156" s="10"/>
      <c r="P156" s="10"/>
      <c r="Q156" s="10"/>
    </row>
    <row r="157" spans="1:17" x14ac:dyDescent="0.25">
      <c r="A157" s="10"/>
      <c r="B157" s="10"/>
      <c r="C157" s="10"/>
      <c r="D157" s="15" t="str">
        <f>IF(C157="","",IFERROR(VLOOKUP(C157,Codes!$J$8:$O$117,2,FALSE),"Unknown type"))</f>
        <v/>
      </c>
      <c r="E157" s="10"/>
      <c r="F157" s="10"/>
      <c r="G157" s="10"/>
      <c r="H157" s="10"/>
      <c r="I157" s="10"/>
      <c r="J157" s="10"/>
      <c r="K157" s="16" t="str">
        <f>IF(C157="","",IFERROR(VLOOKUP(C157,Codes!$J$8:$O$117,6,FALSE),""))</f>
        <v/>
      </c>
      <c r="L157" s="10"/>
      <c r="M157" s="14" t="str">
        <f>IF(C157="","",LOWER(Codes!$B$4&amp;"-"&amp;G157&amp;IF(H157="","","-"&amp;H157)&amp;"-"&amp;C157&amp;"-"&amp;I157&amp;IF(J157="","","-"&amp;J157)&amp;"-"&amp;IF(L157="","01",TEXT(L157,"00"))))</f>
        <v/>
      </c>
      <c r="N157" s="15" t="str">
        <f>IF(C157="","",IF(ISNA(MATCH(C157,Codes!$J$8:$J$117,0)),"Unknown type code",IF(OR(G157="",I157=""),"Env and app required",IF(AND(VLOOKUP(C157,Codes!$J$8:$O$117,4,FALSE)="Global",H157&lt;&gt;""),"Global type: leave region blank",IF(AND(VLOOKUP(C157,Codes!$J$8:$O$117,4,FALSE)&lt;&gt;"Global",H157=""),"Region required",IF(AND(VLOOKUP(C157,Codes!$J$8:$O$117,5,FALSE)="Required",J157=""),"Qualifier required",IF(AND(VLOOKUP(C157,Codes!$J$8:$O$117,5,FALSE)="None",J157&lt;&gt;""),"This type takes no qualifier",IF(AND(J157&lt;&gt;"",VLOOKUP(C157,Codes!$J$8:$O$117,6,FALSE)&lt;&gt;"-",ISERROR(SEARCH(", "&amp;J157&amp;",",", "&amp;VLOOKUP(C157,Codes!$J$8:$O$117,6,FALSE)&amp;","))),"Qualifier not in allowed list",IF(COUNTIF($M$5:$M$304,M157)&gt;1,"Duplicate name","OK")))))))))</f>
        <v/>
      </c>
      <c r="O157" s="10"/>
      <c r="P157" s="10"/>
      <c r="Q157" s="10"/>
    </row>
    <row r="158" spans="1:17" x14ac:dyDescent="0.25">
      <c r="A158" s="10"/>
      <c r="B158" s="10"/>
      <c r="C158" s="10"/>
      <c r="D158" s="15" t="str">
        <f>IF(C158="","",IFERROR(VLOOKUP(C158,Codes!$J$8:$O$117,2,FALSE),"Unknown type"))</f>
        <v/>
      </c>
      <c r="E158" s="10"/>
      <c r="F158" s="10"/>
      <c r="G158" s="10"/>
      <c r="H158" s="10"/>
      <c r="I158" s="10"/>
      <c r="J158" s="10"/>
      <c r="K158" s="16" t="str">
        <f>IF(C158="","",IFERROR(VLOOKUP(C158,Codes!$J$8:$O$117,6,FALSE),""))</f>
        <v/>
      </c>
      <c r="L158" s="10"/>
      <c r="M158" s="14" t="str">
        <f>IF(C158="","",LOWER(Codes!$B$4&amp;"-"&amp;G158&amp;IF(H158="","","-"&amp;H158)&amp;"-"&amp;C158&amp;"-"&amp;I158&amp;IF(J158="","","-"&amp;J158)&amp;"-"&amp;IF(L158="","01",TEXT(L158,"00"))))</f>
        <v/>
      </c>
      <c r="N158" s="15" t="str">
        <f>IF(C158="","",IF(ISNA(MATCH(C158,Codes!$J$8:$J$117,0)),"Unknown type code",IF(OR(G158="",I158=""),"Env and app required",IF(AND(VLOOKUP(C158,Codes!$J$8:$O$117,4,FALSE)="Global",H158&lt;&gt;""),"Global type: leave region blank",IF(AND(VLOOKUP(C158,Codes!$J$8:$O$117,4,FALSE)&lt;&gt;"Global",H158=""),"Region required",IF(AND(VLOOKUP(C158,Codes!$J$8:$O$117,5,FALSE)="Required",J158=""),"Qualifier required",IF(AND(VLOOKUP(C158,Codes!$J$8:$O$117,5,FALSE)="None",J158&lt;&gt;""),"This type takes no qualifier",IF(AND(J158&lt;&gt;"",VLOOKUP(C158,Codes!$J$8:$O$117,6,FALSE)&lt;&gt;"-",ISERROR(SEARCH(", "&amp;J158&amp;",",", "&amp;VLOOKUP(C158,Codes!$J$8:$O$117,6,FALSE)&amp;","))),"Qualifier not in allowed list",IF(COUNTIF($M$5:$M$304,M158)&gt;1,"Duplicate name","OK")))))))))</f>
        <v/>
      </c>
      <c r="O158" s="10"/>
      <c r="P158" s="10"/>
      <c r="Q158" s="10"/>
    </row>
    <row r="159" spans="1:17" x14ac:dyDescent="0.25">
      <c r="A159" s="10"/>
      <c r="B159" s="10"/>
      <c r="C159" s="10"/>
      <c r="D159" s="15" t="str">
        <f>IF(C159="","",IFERROR(VLOOKUP(C159,Codes!$J$8:$O$117,2,FALSE),"Unknown type"))</f>
        <v/>
      </c>
      <c r="E159" s="10"/>
      <c r="F159" s="10"/>
      <c r="G159" s="10"/>
      <c r="H159" s="10"/>
      <c r="I159" s="10"/>
      <c r="J159" s="10"/>
      <c r="K159" s="16" t="str">
        <f>IF(C159="","",IFERROR(VLOOKUP(C159,Codes!$J$8:$O$117,6,FALSE),""))</f>
        <v/>
      </c>
      <c r="L159" s="10"/>
      <c r="M159" s="14" t="str">
        <f>IF(C159="","",LOWER(Codes!$B$4&amp;"-"&amp;G159&amp;IF(H159="","","-"&amp;H159)&amp;"-"&amp;C159&amp;"-"&amp;I159&amp;IF(J159="","","-"&amp;J159)&amp;"-"&amp;IF(L159="","01",TEXT(L159,"00"))))</f>
        <v/>
      </c>
      <c r="N159" s="15" t="str">
        <f>IF(C159="","",IF(ISNA(MATCH(C159,Codes!$J$8:$J$117,0)),"Unknown type code",IF(OR(G159="",I159=""),"Env and app required",IF(AND(VLOOKUP(C159,Codes!$J$8:$O$117,4,FALSE)="Global",H159&lt;&gt;""),"Global type: leave region blank",IF(AND(VLOOKUP(C159,Codes!$J$8:$O$117,4,FALSE)&lt;&gt;"Global",H159=""),"Region required",IF(AND(VLOOKUP(C159,Codes!$J$8:$O$117,5,FALSE)="Required",J159=""),"Qualifier required",IF(AND(VLOOKUP(C159,Codes!$J$8:$O$117,5,FALSE)="None",J159&lt;&gt;""),"This type takes no qualifier",IF(AND(J159&lt;&gt;"",VLOOKUP(C159,Codes!$J$8:$O$117,6,FALSE)&lt;&gt;"-",ISERROR(SEARCH(", "&amp;J159&amp;",",", "&amp;VLOOKUP(C159,Codes!$J$8:$O$117,6,FALSE)&amp;","))),"Qualifier not in allowed list",IF(COUNTIF($M$5:$M$304,M159)&gt;1,"Duplicate name","OK")))))))))</f>
        <v/>
      </c>
      <c r="O159" s="10"/>
      <c r="P159" s="10"/>
      <c r="Q159" s="10"/>
    </row>
    <row r="160" spans="1:17" x14ac:dyDescent="0.25">
      <c r="A160" s="10"/>
      <c r="B160" s="10"/>
      <c r="C160" s="10"/>
      <c r="D160" s="15" t="str">
        <f>IF(C160="","",IFERROR(VLOOKUP(C160,Codes!$J$8:$O$117,2,FALSE),"Unknown type"))</f>
        <v/>
      </c>
      <c r="E160" s="10"/>
      <c r="F160" s="10"/>
      <c r="G160" s="10"/>
      <c r="H160" s="10"/>
      <c r="I160" s="10"/>
      <c r="J160" s="10"/>
      <c r="K160" s="16" t="str">
        <f>IF(C160="","",IFERROR(VLOOKUP(C160,Codes!$J$8:$O$117,6,FALSE),""))</f>
        <v/>
      </c>
      <c r="L160" s="10"/>
      <c r="M160" s="14" t="str">
        <f>IF(C160="","",LOWER(Codes!$B$4&amp;"-"&amp;G160&amp;IF(H160="","","-"&amp;H160)&amp;"-"&amp;C160&amp;"-"&amp;I160&amp;IF(J160="","","-"&amp;J160)&amp;"-"&amp;IF(L160="","01",TEXT(L160,"00"))))</f>
        <v/>
      </c>
      <c r="N160" s="15" t="str">
        <f>IF(C160="","",IF(ISNA(MATCH(C160,Codes!$J$8:$J$117,0)),"Unknown type code",IF(OR(G160="",I160=""),"Env and app required",IF(AND(VLOOKUP(C160,Codes!$J$8:$O$117,4,FALSE)="Global",H160&lt;&gt;""),"Global type: leave region blank",IF(AND(VLOOKUP(C160,Codes!$J$8:$O$117,4,FALSE)&lt;&gt;"Global",H160=""),"Region required",IF(AND(VLOOKUP(C160,Codes!$J$8:$O$117,5,FALSE)="Required",J160=""),"Qualifier required",IF(AND(VLOOKUP(C160,Codes!$J$8:$O$117,5,FALSE)="None",J160&lt;&gt;""),"This type takes no qualifier",IF(AND(J160&lt;&gt;"",VLOOKUP(C160,Codes!$J$8:$O$117,6,FALSE)&lt;&gt;"-",ISERROR(SEARCH(", "&amp;J160&amp;",",", "&amp;VLOOKUP(C160,Codes!$J$8:$O$117,6,FALSE)&amp;","))),"Qualifier not in allowed list",IF(COUNTIF($M$5:$M$304,M160)&gt;1,"Duplicate name","OK")))))))))</f>
        <v/>
      </c>
      <c r="O160" s="10"/>
      <c r="P160" s="10"/>
      <c r="Q160" s="10"/>
    </row>
    <row r="161" spans="1:17" x14ac:dyDescent="0.25">
      <c r="A161" s="10"/>
      <c r="B161" s="10"/>
      <c r="C161" s="10"/>
      <c r="D161" s="15" t="str">
        <f>IF(C161="","",IFERROR(VLOOKUP(C161,Codes!$J$8:$O$117,2,FALSE),"Unknown type"))</f>
        <v/>
      </c>
      <c r="E161" s="10"/>
      <c r="F161" s="10"/>
      <c r="G161" s="10"/>
      <c r="H161" s="10"/>
      <c r="I161" s="10"/>
      <c r="J161" s="10"/>
      <c r="K161" s="16" t="str">
        <f>IF(C161="","",IFERROR(VLOOKUP(C161,Codes!$J$8:$O$117,6,FALSE),""))</f>
        <v/>
      </c>
      <c r="L161" s="10"/>
      <c r="M161" s="14" t="str">
        <f>IF(C161="","",LOWER(Codes!$B$4&amp;"-"&amp;G161&amp;IF(H161="","","-"&amp;H161)&amp;"-"&amp;C161&amp;"-"&amp;I161&amp;IF(J161="","","-"&amp;J161)&amp;"-"&amp;IF(L161="","01",TEXT(L161,"00"))))</f>
        <v/>
      </c>
      <c r="N161" s="15" t="str">
        <f>IF(C161="","",IF(ISNA(MATCH(C161,Codes!$J$8:$J$117,0)),"Unknown type code",IF(OR(G161="",I161=""),"Env and app required",IF(AND(VLOOKUP(C161,Codes!$J$8:$O$117,4,FALSE)="Global",H161&lt;&gt;""),"Global type: leave region blank",IF(AND(VLOOKUP(C161,Codes!$J$8:$O$117,4,FALSE)&lt;&gt;"Global",H161=""),"Region required",IF(AND(VLOOKUP(C161,Codes!$J$8:$O$117,5,FALSE)="Required",J161=""),"Qualifier required",IF(AND(VLOOKUP(C161,Codes!$J$8:$O$117,5,FALSE)="None",J161&lt;&gt;""),"This type takes no qualifier",IF(AND(J161&lt;&gt;"",VLOOKUP(C161,Codes!$J$8:$O$117,6,FALSE)&lt;&gt;"-",ISERROR(SEARCH(", "&amp;J161&amp;",",", "&amp;VLOOKUP(C161,Codes!$J$8:$O$117,6,FALSE)&amp;","))),"Qualifier not in allowed list",IF(COUNTIF($M$5:$M$304,M161)&gt;1,"Duplicate name","OK")))))))))</f>
        <v/>
      </c>
      <c r="O161" s="10"/>
      <c r="P161" s="10"/>
      <c r="Q161" s="10"/>
    </row>
    <row r="162" spans="1:17" x14ac:dyDescent="0.25">
      <c r="A162" s="10"/>
      <c r="B162" s="10"/>
      <c r="C162" s="10"/>
      <c r="D162" s="15" t="str">
        <f>IF(C162="","",IFERROR(VLOOKUP(C162,Codes!$J$8:$O$117,2,FALSE),"Unknown type"))</f>
        <v/>
      </c>
      <c r="E162" s="10"/>
      <c r="F162" s="10"/>
      <c r="G162" s="10"/>
      <c r="H162" s="10"/>
      <c r="I162" s="10"/>
      <c r="J162" s="10"/>
      <c r="K162" s="16" t="str">
        <f>IF(C162="","",IFERROR(VLOOKUP(C162,Codes!$J$8:$O$117,6,FALSE),""))</f>
        <v/>
      </c>
      <c r="L162" s="10"/>
      <c r="M162" s="14" t="str">
        <f>IF(C162="","",LOWER(Codes!$B$4&amp;"-"&amp;G162&amp;IF(H162="","","-"&amp;H162)&amp;"-"&amp;C162&amp;"-"&amp;I162&amp;IF(J162="","","-"&amp;J162)&amp;"-"&amp;IF(L162="","01",TEXT(L162,"00"))))</f>
        <v/>
      </c>
      <c r="N162" s="15" t="str">
        <f>IF(C162="","",IF(ISNA(MATCH(C162,Codes!$J$8:$J$117,0)),"Unknown type code",IF(OR(G162="",I162=""),"Env and app required",IF(AND(VLOOKUP(C162,Codes!$J$8:$O$117,4,FALSE)="Global",H162&lt;&gt;""),"Global type: leave region blank",IF(AND(VLOOKUP(C162,Codes!$J$8:$O$117,4,FALSE)&lt;&gt;"Global",H162=""),"Region required",IF(AND(VLOOKUP(C162,Codes!$J$8:$O$117,5,FALSE)="Required",J162=""),"Qualifier required",IF(AND(VLOOKUP(C162,Codes!$J$8:$O$117,5,FALSE)="None",J162&lt;&gt;""),"This type takes no qualifier",IF(AND(J162&lt;&gt;"",VLOOKUP(C162,Codes!$J$8:$O$117,6,FALSE)&lt;&gt;"-",ISERROR(SEARCH(", "&amp;J162&amp;",",", "&amp;VLOOKUP(C162,Codes!$J$8:$O$117,6,FALSE)&amp;","))),"Qualifier not in allowed list",IF(COUNTIF($M$5:$M$304,M162)&gt;1,"Duplicate name","OK")))))))))</f>
        <v/>
      </c>
      <c r="O162" s="10"/>
      <c r="P162" s="10"/>
      <c r="Q162" s="10"/>
    </row>
    <row r="163" spans="1:17" x14ac:dyDescent="0.25">
      <c r="A163" s="10"/>
      <c r="B163" s="10"/>
      <c r="C163" s="10"/>
      <c r="D163" s="15" t="str">
        <f>IF(C163="","",IFERROR(VLOOKUP(C163,Codes!$J$8:$O$117,2,FALSE),"Unknown type"))</f>
        <v/>
      </c>
      <c r="E163" s="10"/>
      <c r="F163" s="10"/>
      <c r="G163" s="10"/>
      <c r="H163" s="10"/>
      <c r="I163" s="10"/>
      <c r="J163" s="10"/>
      <c r="K163" s="16" t="str">
        <f>IF(C163="","",IFERROR(VLOOKUP(C163,Codes!$J$8:$O$117,6,FALSE),""))</f>
        <v/>
      </c>
      <c r="L163" s="10"/>
      <c r="M163" s="14" t="str">
        <f>IF(C163="","",LOWER(Codes!$B$4&amp;"-"&amp;G163&amp;IF(H163="","","-"&amp;H163)&amp;"-"&amp;C163&amp;"-"&amp;I163&amp;IF(J163="","","-"&amp;J163)&amp;"-"&amp;IF(L163="","01",TEXT(L163,"00"))))</f>
        <v/>
      </c>
      <c r="N163" s="15" t="str">
        <f>IF(C163="","",IF(ISNA(MATCH(C163,Codes!$J$8:$J$117,0)),"Unknown type code",IF(OR(G163="",I163=""),"Env and app required",IF(AND(VLOOKUP(C163,Codes!$J$8:$O$117,4,FALSE)="Global",H163&lt;&gt;""),"Global type: leave region blank",IF(AND(VLOOKUP(C163,Codes!$J$8:$O$117,4,FALSE)&lt;&gt;"Global",H163=""),"Region required",IF(AND(VLOOKUP(C163,Codes!$J$8:$O$117,5,FALSE)="Required",J163=""),"Qualifier required",IF(AND(VLOOKUP(C163,Codes!$J$8:$O$117,5,FALSE)="None",J163&lt;&gt;""),"This type takes no qualifier",IF(AND(J163&lt;&gt;"",VLOOKUP(C163,Codes!$J$8:$O$117,6,FALSE)&lt;&gt;"-",ISERROR(SEARCH(", "&amp;J163&amp;",",", "&amp;VLOOKUP(C163,Codes!$J$8:$O$117,6,FALSE)&amp;","))),"Qualifier not in allowed list",IF(COUNTIF($M$5:$M$304,M163)&gt;1,"Duplicate name","OK")))))))))</f>
        <v/>
      </c>
      <c r="O163" s="10"/>
      <c r="P163" s="10"/>
      <c r="Q163" s="10"/>
    </row>
    <row r="164" spans="1:17" x14ac:dyDescent="0.25">
      <c r="A164" s="10"/>
      <c r="B164" s="10"/>
      <c r="C164" s="10"/>
      <c r="D164" s="15" t="str">
        <f>IF(C164="","",IFERROR(VLOOKUP(C164,Codes!$J$8:$O$117,2,FALSE),"Unknown type"))</f>
        <v/>
      </c>
      <c r="E164" s="10"/>
      <c r="F164" s="10"/>
      <c r="G164" s="10"/>
      <c r="H164" s="10"/>
      <c r="I164" s="10"/>
      <c r="J164" s="10"/>
      <c r="K164" s="16" t="str">
        <f>IF(C164="","",IFERROR(VLOOKUP(C164,Codes!$J$8:$O$117,6,FALSE),""))</f>
        <v/>
      </c>
      <c r="L164" s="10"/>
      <c r="M164" s="14" t="str">
        <f>IF(C164="","",LOWER(Codes!$B$4&amp;"-"&amp;G164&amp;IF(H164="","","-"&amp;H164)&amp;"-"&amp;C164&amp;"-"&amp;I164&amp;IF(J164="","","-"&amp;J164)&amp;"-"&amp;IF(L164="","01",TEXT(L164,"00"))))</f>
        <v/>
      </c>
      <c r="N164" s="15" t="str">
        <f>IF(C164="","",IF(ISNA(MATCH(C164,Codes!$J$8:$J$117,0)),"Unknown type code",IF(OR(G164="",I164=""),"Env and app required",IF(AND(VLOOKUP(C164,Codes!$J$8:$O$117,4,FALSE)="Global",H164&lt;&gt;""),"Global type: leave region blank",IF(AND(VLOOKUP(C164,Codes!$J$8:$O$117,4,FALSE)&lt;&gt;"Global",H164=""),"Region required",IF(AND(VLOOKUP(C164,Codes!$J$8:$O$117,5,FALSE)="Required",J164=""),"Qualifier required",IF(AND(VLOOKUP(C164,Codes!$J$8:$O$117,5,FALSE)="None",J164&lt;&gt;""),"This type takes no qualifier",IF(AND(J164&lt;&gt;"",VLOOKUP(C164,Codes!$J$8:$O$117,6,FALSE)&lt;&gt;"-",ISERROR(SEARCH(", "&amp;J164&amp;",",", "&amp;VLOOKUP(C164,Codes!$J$8:$O$117,6,FALSE)&amp;","))),"Qualifier not in allowed list",IF(COUNTIF($M$5:$M$304,M164)&gt;1,"Duplicate name","OK")))))))))</f>
        <v/>
      </c>
      <c r="O164" s="10"/>
      <c r="P164" s="10"/>
      <c r="Q164" s="10"/>
    </row>
    <row r="165" spans="1:17" x14ac:dyDescent="0.25">
      <c r="A165" s="10"/>
      <c r="B165" s="10"/>
      <c r="C165" s="10"/>
      <c r="D165" s="15" t="str">
        <f>IF(C165="","",IFERROR(VLOOKUP(C165,Codes!$J$8:$O$117,2,FALSE),"Unknown type"))</f>
        <v/>
      </c>
      <c r="E165" s="10"/>
      <c r="F165" s="10"/>
      <c r="G165" s="10"/>
      <c r="H165" s="10"/>
      <c r="I165" s="10"/>
      <c r="J165" s="10"/>
      <c r="K165" s="16" t="str">
        <f>IF(C165="","",IFERROR(VLOOKUP(C165,Codes!$J$8:$O$117,6,FALSE),""))</f>
        <v/>
      </c>
      <c r="L165" s="10"/>
      <c r="M165" s="14" t="str">
        <f>IF(C165="","",LOWER(Codes!$B$4&amp;"-"&amp;G165&amp;IF(H165="","","-"&amp;H165)&amp;"-"&amp;C165&amp;"-"&amp;I165&amp;IF(J165="","","-"&amp;J165)&amp;"-"&amp;IF(L165="","01",TEXT(L165,"00"))))</f>
        <v/>
      </c>
      <c r="N165" s="15" t="str">
        <f>IF(C165="","",IF(ISNA(MATCH(C165,Codes!$J$8:$J$117,0)),"Unknown type code",IF(OR(G165="",I165=""),"Env and app required",IF(AND(VLOOKUP(C165,Codes!$J$8:$O$117,4,FALSE)="Global",H165&lt;&gt;""),"Global type: leave region blank",IF(AND(VLOOKUP(C165,Codes!$J$8:$O$117,4,FALSE)&lt;&gt;"Global",H165=""),"Region required",IF(AND(VLOOKUP(C165,Codes!$J$8:$O$117,5,FALSE)="Required",J165=""),"Qualifier required",IF(AND(VLOOKUP(C165,Codes!$J$8:$O$117,5,FALSE)="None",J165&lt;&gt;""),"This type takes no qualifier",IF(AND(J165&lt;&gt;"",VLOOKUP(C165,Codes!$J$8:$O$117,6,FALSE)&lt;&gt;"-",ISERROR(SEARCH(", "&amp;J165&amp;",",", "&amp;VLOOKUP(C165,Codes!$J$8:$O$117,6,FALSE)&amp;","))),"Qualifier not in allowed list",IF(COUNTIF($M$5:$M$304,M165)&gt;1,"Duplicate name","OK")))))))))</f>
        <v/>
      </c>
      <c r="O165" s="10"/>
      <c r="P165" s="10"/>
      <c r="Q165" s="10"/>
    </row>
    <row r="166" spans="1:17" x14ac:dyDescent="0.25">
      <c r="A166" s="10"/>
      <c r="B166" s="10"/>
      <c r="C166" s="10"/>
      <c r="D166" s="15" t="str">
        <f>IF(C166="","",IFERROR(VLOOKUP(C166,Codes!$J$8:$O$117,2,FALSE),"Unknown type"))</f>
        <v/>
      </c>
      <c r="E166" s="10"/>
      <c r="F166" s="10"/>
      <c r="G166" s="10"/>
      <c r="H166" s="10"/>
      <c r="I166" s="10"/>
      <c r="J166" s="10"/>
      <c r="K166" s="16" t="str">
        <f>IF(C166="","",IFERROR(VLOOKUP(C166,Codes!$J$8:$O$117,6,FALSE),""))</f>
        <v/>
      </c>
      <c r="L166" s="10"/>
      <c r="M166" s="14" t="str">
        <f>IF(C166="","",LOWER(Codes!$B$4&amp;"-"&amp;G166&amp;IF(H166="","","-"&amp;H166)&amp;"-"&amp;C166&amp;"-"&amp;I166&amp;IF(J166="","","-"&amp;J166)&amp;"-"&amp;IF(L166="","01",TEXT(L166,"00"))))</f>
        <v/>
      </c>
      <c r="N166" s="15" t="str">
        <f>IF(C166="","",IF(ISNA(MATCH(C166,Codes!$J$8:$J$117,0)),"Unknown type code",IF(OR(G166="",I166=""),"Env and app required",IF(AND(VLOOKUP(C166,Codes!$J$8:$O$117,4,FALSE)="Global",H166&lt;&gt;""),"Global type: leave region blank",IF(AND(VLOOKUP(C166,Codes!$J$8:$O$117,4,FALSE)&lt;&gt;"Global",H166=""),"Region required",IF(AND(VLOOKUP(C166,Codes!$J$8:$O$117,5,FALSE)="Required",J166=""),"Qualifier required",IF(AND(VLOOKUP(C166,Codes!$J$8:$O$117,5,FALSE)="None",J166&lt;&gt;""),"This type takes no qualifier",IF(AND(J166&lt;&gt;"",VLOOKUP(C166,Codes!$J$8:$O$117,6,FALSE)&lt;&gt;"-",ISERROR(SEARCH(", "&amp;J166&amp;",",", "&amp;VLOOKUP(C166,Codes!$J$8:$O$117,6,FALSE)&amp;","))),"Qualifier not in allowed list",IF(COUNTIF($M$5:$M$304,M166)&gt;1,"Duplicate name","OK")))))))))</f>
        <v/>
      </c>
      <c r="O166" s="10"/>
      <c r="P166" s="10"/>
      <c r="Q166" s="10"/>
    </row>
    <row r="167" spans="1:17" x14ac:dyDescent="0.25">
      <c r="A167" s="10"/>
      <c r="B167" s="10"/>
      <c r="C167" s="10"/>
      <c r="D167" s="15" t="str">
        <f>IF(C167="","",IFERROR(VLOOKUP(C167,Codes!$J$8:$O$117,2,FALSE),"Unknown type"))</f>
        <v/>
      </c>
      <c r="E167" s="10"/>
      <c r="F167" s="10"/>
      <c r="G167" s="10"/>
      <c r="H167" s="10"/>
      <c r="I167" s="10"/>
      <c r="J167" s="10"/>
      <c r="K167" s="16" t="str">
        <f>IF(C167="","",IFERROR(VLOOKUP(C167,Codes!$J$8:$O$117,6,FALSE),""))</f>
        <v/>
      </c>
      <c r="L167" s="10"/>
      <c r="M167" s="14" t="str">
        <f>IF(C167="","",LOWER(Codes!$B$4&amp;"-"&amp;G167&amp;IF(H167="","","-"&amp;H167)&amp;"-"&amp;C167&amp;"-"&amp;I167&amp;IF(J167="","","-"&amp;J167)&amp;"-"&amp;IF(L167="","01",TEXT(L167,"00"))))</f>
        <v/>
      </c>
      <c r="N167" s="15" t="str">
        <f>IF(C167="","",IF(ISNA(MATCH(C167,Codes!$J$8:$J$117,0)),"Unknown type code",IF(OR(G167="",I167=""),"Env and app required",IF(AND(VLOOKUP(C167,Codes!$J$8:$O$117,4,FALSE)="Global",H167&lt;&gt;""),"Global type: leave region blank",IF(AND(VLOOKUP(C167,Codes!$J$8:$O$117,4,FALSE)&lt;&gt;"Global",H167=""),"Region required",IF(AND(VLOOKUP(C167,Codes!$J$8:$O$117,5,FALSE)="Required",J167=""),"Qualifier required",IF(AND(VLOOKUP(C167,Codes!$J$8:$O$117,5,FALSE)="None",J167&lt;&gt;""),"This type takes no qualifier",IF(AND(J167&lt;&gt;"",VLOOKUP(C167,Codes!$J$8:$O$117,6,FALSE)&lt;&gt;"-",ISERROR(SEARCH(", "&amp;J167&amp;",",", "&amp;VLOOKUP(C167,Codes!$J$8:$O$117,6,FALSE)&amp;","))),"Qualifier not in allowed list",IF(COUNTIF($M$5:$M$304,M167)&gt;1,"Duplicate name","OK")))))))))</f>
        <v/>
      </c>
      <c r="O167" s="10"/>
      <c r="P167" s="10"/>
      <c r="Q167" s="10"/>
    </row>
    <row r="168" spans="1:17" x14ac:dyDescent="0.25">
      <c r="A168" s="10"/>
      <c r="B168" s="10"/>
      <c r="C168" s="10"/>
      <c r="D168" s="15" t="str">
        <f>IF(C168="","",IFERROR(VLOOKUP(C168,Codes!$J$8:$O$117,2,FALSE),"Unknown type"))</f>
        <v/>
      </c>
      <c r="E168" s="10"/>
      <c r="F168" s="10"/>
      <c r="G168" s="10"/>
      <c r="H168" s="10"/>
      <c r="I168" s="10"/>
      <c r="J168" s="10"/>
      <c r="K168" s="16" t="str">
        <f>IF(C168="","",IFERROR(VLOOKUP(C168,Codes!$J$8:$O$117,6,FALSE),""))</f>
        <v/>
      </c>
      <c r="L168" s="10"/>
      <c r="M168" s="14" t="str">
        <f>IF(C168="","",LOWER(Codes!$B$4&amp;"-"&amp;G168&amp;IF(H168="","","-"&amp;H168)&amp;"-"&amp;C168&amp;"-"&amp;I168&amp;IF(J168="","","-"&amp;J168)&amp;"-"&amp;IF(L168="","01",TEXT(L168,"00"))))</f>
        <v/>
      </c>
      <c r="N168" s="15" t="str">
        <f>IF(C168="","",IF(ISNA(MATCH(C168,Codes!$J$8:$J$117,0)),"Unknown type code",IF(OR(G168="",I168=""),"Env and app required",IF(AND(VLOOKUP(C168,Codes!$J$8:$O$117,4,FALSE)="Global",H168&lt;&gt;""),"Global type: leave region blank",IF(AND(VLOOKUP(C168,Codes!$J$8:$O$117,4,FALSE)&lt;&gt;"Global",H168=""),"Region required",IF(AND(VLOOKUP(C168,Codes!$J$8:$O$117,5,FALSE)="Required",J168=""),"Qualifier required",IF(AND(VLOOKUP(C168,Codes!$J$8:$O$117,5,FALSE)="None",J168&lt;&gt;""),"This type takes no qualifier",IF(AND(J168&lt;&gt;"",VLOOKUP(C168,Codes!$J$8:$O$117,6,FALSE)&lt;&gt;"-",ISERROR(SEARCH(", "&amp;J168&amp;",",", "&amp;VLOOKUP(C168,Codes!$J$8:$O$117,6,FALSE)&amp;","))),"Qualifier not in allowed list",IF(COUNTIF($M$5:$M$304,M168)&gt;1,"Duplicate name","OK")))))))))</f>
        <v/>
      </c>
      <c r="O168" s="10"/>
      <c r="P168" s="10"/>
      <c r="Q168" s="10"/>
    </row>
    <row r="169" spans="1:17" x14ac:dyDescent="0.25">
      <c r="A169" s="10"/>
      <c r="B169" s="10"/>
      <c r="C169" s="10"/>
      <c r="D169" s="15" t="str">
        <f>IF(C169="","",IFERROR(VLOOKUP(C169,Codes!$J$8:$O$117,2,FALSE),"Unknown type"))</f>
        <v/>
      </c>
      <c r="E169" s="10"/>
      <c r="F169" s="10"/>
      <c r="G169" s="10"/>
      <c r="H169" s="10"/>
      <c r="I169" s="10"/>
      <c r="J169" s="10"/>
      <c r="K169" s="16" t="str">
        <f>IF(C169="","",IFERROR(VLOOKUP(C169,Codes!$J$8:$O$117,6,FALSE),""))</f>
        <v/>
      </c>
      <c r="L169" s="10"/>
      <c r="M169" s="14" t="str">
        <f>IF(C169="","",LOWER(Codes!$B$4&amp;"-"&amp;G169&amp;IF(H169="","","-"&amp;H169)&amp;"-"&amp;C169&amp;"-"&amp;I169&amp;IF(J169="","","-"&amp;J169)&amp;"-"&amp;IF(L169="","01",TEXT(L169,"00"))))</f>
        <v/>
      </c>
      <c r="N169" s="15" t="str">
        <f>IF(C169="","",IF(ISNA(MATCH(C169,Codes!$J$8:$J$117,0)),"Unknown type code",IF(OR(G169="",I169=""),"Env and app required",IF(AND(VLOOKUP(C169,Codes!$J$8:$O$117,4,FALSE)="Global",H169&lt;&gt;""),"Global type: leave region blank",IF(AND(VLOOKUP(C169,Codes!$J$8:$O$117,4,FALSE)&lt;&gt;"Global",H169=""),"Region required",IF(AND(VLOOKUP(C169,Codes!$J$8:$O$117,5,FALSE)="Required",J169=""),"Qualifier required",IF(AND(VLOOKUP(C169,Codes!$J$8:$O$117,5,FALSE)="None",J169&lt;&gt;""),"This type takes no qualifier",IF(AND(J169&lt;&gt;"",VLOOKUP(C169,Codes!$J$8:$O$117,6,FALSE)&lt;&gt;"-",ISERROR(SEARCH(", "&amp;J169&amp;",",", "&amp;VLOOKUP(C169,Codes!$J$8:$O$117,6,FALSE)&amp;","))),"Qualifier not in allowed list",IF(COUNTIF($M$5:$M$304,M169)&gt;1,"Duplicate name","OK")))))))))</f>
        <v/>
      </c>
      <c r="O169" s="10"/>
      <c r="P169" s="10"/>
      <c r="Q169" s="10"/>
    </row>
    <row r="170" spans="1:17" x14ac:dyDescent="0.25">
      <c r="A170" s="10"/>
      <c r="B170" s="10"/>
      <c r="C170" s="10"/>
      <c r="D170" s="15" t="str">
        <f>IF(C170="","",IFERROR(VLOOKUP(C170,Codes!$J$8:$O$117,2,FALSE),"Unknown type"))</f>
        <v/>
      </c>
      <c r="E170" s="10"/>
      <c r="F170" s="10"/>
      <c r="G170" s="10"/>
      <c r="H170" s="10"/>
      <c r="I170" s="10"/>
      <c r="J170" s="10"/>
      <c r="K170" s="16" t="str">
        <f>IF(C170="","",IFERROR(VLOOKUP(C170,Codes!$J$8:$O$117,6,FALSE),""))</f>
        <v/>
      </c>
      <c r="L170" s="10"/>
      <c r="M170" s="14" t="str">
        <f>IF(C170="","",LOWER(Codes!$B$4&amp;"-"&amp;G170&amp;IF(H170="","","-"&amp;H170)&amp;"-"&amp;C170&amp;"-"&amp;I170&amp;IF(J170="","","-"&amp;J170)&amp;"-"&amp;IF(L170="","01",TEXT(L170,"00"))))</f>
        <v/>
      </c>
      <c r="N170" s="15" t="str">
        <f>IF(C170="","",IF(ISNA(MATCH(C170,Codes!$J$8:$J$117,0)),"Unknown type code",IF(OR(G170="",I170=""),"Env and app required",IF(AND(VLOOKUP(C170,Codes!$J$8:$O$117,4,FALSE)="Global",H170&lt;&gt;""),"Global type: leave region blank",IF(AND(VLOOKUP(C170,Codes!$J$8:$O$117,4,FALSE)&lt;&gt;"Global",H170=""),"Region required",IF(AND(VLOOKUP(C170,Codes!$J$8:$O$117,5,FALSE)="Required",J170=""),"Qualifier required",IF(AND(VLOOKUP(C170,Codes!$J$8:$O$117,5,FALSE)="None",J170&lt;&gt;""),"This type takes no qualifier",IF(AND(J170&lt;&gt;"",VLOOKUP(C170,Codes!$J$8:$O$117,6,FALSE)&lt;&gt;"-",ISERROR(SEARCH(", "&amp;J170&amp;",",", "&amp;VLOOKUP(C170,Codes!$J$8:$O$117,6,FALSE)&amp;","))),"Qualifier not in allowed list",IF(COUNTIF($M$5:$M$304,M170)&gt;1,"Duplicate name","OK")))))))))</f>
        <v/>
      </c>
      <c r="O170" s="10"/>
      <c r="P170" s="10"/>
      <c r="Q170" s="10"/>
    </row>
    <row r="171" spans="1:17" x14ac:dyDescent="0.25">
      <c r="A171" s="10"/>
      <c r="B171" s="10"/>
      <c r="C171" s="10"/>
      <c r="D171" s="15" t="str">
        <f>IF(C171="","",IFERROR(VLOOKUP(C171,Codes!$J$8:$O$117,2,FALSE),"Unknown type"))</f>
        <v/>
      </c>
      <c r="E171" s="10"/>
      <c r="F171" s="10"/>
      <c r="G171" s="10"/>
      <c r="H171" s="10"/>
      <c r="I171" s="10"/>
      <c r="J171" s="10"/>
      <c r="K171" s="16" t="str">
        <f>IF(C171="","",IFERROR(VLOOKUP(C171,Codes!$J$8:$O$117,6,FALSE),""))</f>
        <v/>
      </c>
      <c r="L171" s="10"/>
      <c r="M171" s="14" t="str">
        <f>IF(C171="","",LOWER(Codes!$B$4&amp;"-"&amp;G171&amp;IF(H171="","","-"&amp;H171)&amp;"-"&amp;C171&amp;"-"&amp;I171&amp;IF(J171="","","-"&amp;J171)&amp;"-"&amp;IF(L171="","01",TEXT(L171,"00"))))</f>
        <v/>
      </c>
      <c r="N171" s="15" t="str">
        <f>IF(C171="","",IF(ISNA(MATCH(C171,Codes!$J$8:$J$117,0)),"Unknown type code",IF(OR(G171="",I171=""),"Env and app required",IF(AND(VLOOKUP(C171,Codes!$J$8:$O$117,4,FALSE)="Global",H171&lt;&gt;""),"Global type: leave region blank",IF(AND(VLOOKUP(C171,Codes!$J$8:$O$117,4,FALSE)&lt;&gt;"Global",H171=""),"Region required",IF(AND(VLOOKUP(C171,Codes!$J$8:$O$117,5,FALSE)="Required",J171=""),"Qualifier required",IF(AND(VLOOKUP(C171,Codes!$J$8:$O$117,5,FALSE)="None",J171&lt;&gt;""),"This type takes no qualifier",IF(AND(J171&lt;&gt;"",VLOOKUP(C171,Codes!$J$8:$O$117,6,FALSE)&lt;&gt;"-",ISERROR(SEARCH(", "&amp;J171&amp;",",", "&amp;VLOOKUP(C171,Codes!$J$8:$O$117,6,FALSE)&amp;","))),"Qualifier not in allowed list",IF(COUNTIF($M$5:$M$304,M171)&gt;1,"Duplicate name","OK")))))))))</f>
        <v/>
      </c>
      <c r="O171" s="10"/>
      <c r="P171" s="10"/>
      <c r="Q171" s="10"/>
    </row>
    <row r="172" spans="1:17" x14ac:dyDescent="0.25">
      <c r="A172" s="10"/>
      <c r="B172" s="10"/>
      <c r="C172" s="10"/>
      <c r="D172" s="15" t="str">
        <f>IF(C172="","",IFERROR(VLOOKUP(C172,Codes!$J$8:$O$117,2,FALSE),"Unknown type"))</f>
        <v/>
      </c>
      <c r="E172" s="10"/>
      <c r="F172" s="10"/>
      <c r="G172" s="10"/>
      <c r="H172" s="10"/>
      <c r="I172" s="10"/>
      <c r="J172" s="10"/>
      <c r="K172" s="16" t="str">
        <f>IF(C172="","",IFERROR(VLOOKUP(C172,Codes!$J$8:$O$117,6,FALSE),""))</f>
        <v/>
      </c>
      <c r="L172" s="10"/>
      <c r="M172" s="14" t="str">
        <f>IF(C172="","",LOWER(Codes!$B$4&amp;"-"&amp;G172&amp;IF(H172="","","-"&amp;H172)&amp;"-"&amp;C172&amp;"-"&amp;I172&amp;IF(J172="","","-"&amp;J172)&amp;"-"&amp;IF(L172="","01",TEXT(L172,"00"))))</f>
        <v/>
      </c>
      <c r="N172" s="15" t="str">
        <f>IF(C172="","",IF(ISNA(MATCH(C172,Codes!$J$8:$J$117,0)),"Unknown type code",IF(OR(G172="",I172=""),"Env and app required",IF(AND(VLOOKUP(C172,Codes!$J$8:$O$117,4,FALSE)="Global",H172&lt;&gt;""),"Global type: leave region blank",IF(AND(VLOOKUP(C172,Codes!$J$8:$O$117,4,FALSE)&lt;&gt;"Global",H172=""),"Region required",IF(AND(VLOOKUP(C172,Codes!$J$8:$O$117,5,FALSE)="Required",J172=""),"Qualifier required",IF(AND(VLOOKUP(C172,Codes!$J$8:$O$117,5,FALSE)="None",J172&lt;&gt;""),"This type takes no qualifier",IF(AND(J172&lt;&gt;"",VLOOKUP(C172,Codes!$J$8:$O$117,6,FALSE)&lt;&gt;"-",ISERROR(SEARCH(", "&amp;J172&amp;",",", "&amp;VLOOKUP(C172,Codes!$J$8:$O$117,6,FALSE)&amp;","))),"Qualifier not in allowed list",IF(COUNTIF($M$5:$M$304,M172)&gt;1,"Duplicate name","OK")))))))))</f>
        <v/>
      </c>
      <c r="O172" s="10"/>
      <c r="P172" s="10"/>
      <c r="Q172" s="10"/>
    </row>
    <row r="173" spans="1:17" x14ac:dyDescent="0.25">
      <c r="A173" s="10"/>
      <c r="B173" s="10"/>
      <c r="C173" s="10"/>
      <c r="D173" s="15" t="str">
        <f>IF(C173="","",IFERROR(VLOOKUP(C173,Codes!$J$8:$O$117,2,FALSE),"Unknown type"))</f>
        <v/>
      </c>
      <c r="E173" s="10"/>
      <c r="F173" s="10"/>
      <c r="G173" s="10"/>
      <c r="H173" s="10"/>
      <c r="I173" s="10"/>
      <c r="J173" s="10"/>
      <c r="K173" s="16" t="str">
        <f>IF(C173="","",IFERROR(VLOOKUP(C173,Codes!$J$8:$O$117,6,FALSE),""))</f>
        <v/>
      </c>
      <c r="L173" s="10"/>
      <c r="M173" s="14" t="str">
        <f>IF(C173="","",LOWER(Codes!$B$4&amp;"-"&amp;G173&amp;IF(H173="","","-"&amp;H173)&amp;"-"&amp;C173&amp;"-"&amp;I173&amp;IF(J173="","","-"&amp;J173)&amp;"-"&amp;IF(L173="","01",TEXT(L173,"00"))))</f>
        <v/>
      </c>
      <c r="N173" s="15" t="str">
        <f>IF(C173="","",IF(ISNA(MATCH(C173,Codes!$J$8:$J$117,0)),"Unknown type code",IF(OR(G173="",I173=""),"Env and app required",IF(AND(VLOOKUP(C173,Codes!$J$8:$O$117,4,FALSE)="Global",H173&lt;&gt;""),"Global type: leave region blank",IF(AND(VLOOKUP(C173,Codes!$J$8:$O$117,4,FALSE)&lt;&gt;"Global",H173=""),"Region required",IF(AND(VLOOKUP(C173,Codes!$J$8:$O$117,5,FALSE)="Required",J173=""),"Qualifier required",IF(AND(VLOOKUP(C173,Codes!$J$8:$O$117,5,FALSE)="None",J173&lt;&gt;""),"This type takes no qualifier",IF(AND(J173&lt;&gt;"",VLOOKUP(C173,Codes!$J$8:$O$117,6,FALSE)&lt;&gt;"-",ISERROR(SEARCH(", "&amp;J173&amp;",",", "&amp;VLOOKUP(C173,Codes!$J$8:$O$117,6,FALSE)&amp;","))),"Qualifier not in allowed list",IF(COUNTIF($M$5:$M$304,M173)&gt;1,"Duplicate name","OK")))))))))</f>
        <v/>
      </c>
      <c r="O173" s="10"/>
      <c r="P173" s="10"/>
      <c r="Q173" s="10"/>
    </row>
    <row r="174" spans="1:17" x14ac:dyDescent="0.25">
      <c r="A174" s="10"/>
      <c r="B174" s="10"/>
      <c r="C174" s="10"/>
      <c r="D174" s="15" t="str">
        <f>IF(C174="","",IFERROR(VLOOKUP(C174,Codes!$J$8:$O$117,2,FALSE),"Unknown type"))</f>
        <v/>
      </c>
      <c r="E174" s="10"/>
      <c r="F174" s="10"/>
      <c r="G174" s="10"/>
      <c r="H174" s="10"/>
      <c r="I174" s="10"/>
      <c r="J174" s="10"/>
      <c r="K174" s="16" t="str">
        <f>IF(C174="","",IFERROR(VLOOKUP(C174,Codes!$J$8:$O$117,6,FALSE),""))</f>
        <v/>
      </c>
      <c r="L174" s="10"/>
      <c r="M174" s="14" t="str">
        <f>IF(C174="","",LOWER(Codes!$B$4&amp;"-"&amp;G174&amp;IF(H174="","","-"&amp;H174)&amp;"-"&amp;C174&amp;"-"&amp;I174&amp;IF(J174="","","-"&amp;J174)&amp;"-"&amp;IF(L174="","01",TEXT(L174,"00"))))</f>
        <v/>
      </c>
      <c r="N174" s="15" t="str">
        <f>IF(C174="","",IF(ISNA(MATCH(C174,Codes!$J$8:$J$117,0)),"Unknown type code",IF(OR(G174="",I174=""),"Env and app required",IF(AND(VLOOKUP(C174,Codes!$J$8:$O$117,4,FALSE)="Global",H174&lt;&gt;""),"Global type: leave region blank",IF(AND(VLOOKUP(C174,Codes!$J$8:$O$117,4,FALSE)&lt;&gt;"Global",H174=""),"Region required",IF(AND(VLOOKUP(C174,Codes!$J$8:$O$117,5,FALSE)="Required",J174=""),"Qualifier required",IF(AND(VLOOKUP(C174,Codes!$J$8:$O$117,5,FALSE)="None",J174&lt;&gt;""),"This type takes no qualifier",IF(AND(J174&lt;&gt;"",VLOOKUP(C174,Codes!$J$8:$O$117,6,FALSE)&lt;&gt;"-",ISERROR(SEARCH(", "&amp;J174&amp;",",", "&amp;VLOOKUP(C174,Codes!$J$8:$O$117,6,FALSE)&amp;","))),"Qualifier not in allowed list",IF(COUNTIF($M$5:$M$304,M174)&gt;1,"Duplicate name","OK")))))))))</f>
        <v/>
      </c>
      <c r="O174" s="10"/>
      <c r="P174" s="10"/>
      <c r="Q174" s="10"/>
    </row>
    <row r="175" spans="1:17" x14ac:dyDescent="0.25">
      <c r="A175" s="10"/>
      <c r="B175" s="10"/>
      <c r="C175" s="10"/>
      <c r="D175" s="15" t="str">
        <f>IF(C175="","",IFERROR(VLOOKUP(C175,Codes!$J$8:$O$117,2,FALSE),"Unknown type"))</f>
        <v/>
      </c>
      <c r="E175" s="10"/>
      <c r="F175" s="10"/>
      <c r="G175" s="10"/>
      <c r="H175" s="10"/>
      <c r="I175" s="10"/>
      <c r="J175" s="10"/>
      <c r="K175" s="16" t="str">
        <f>IF(C175="","",IFERROR(VLOOKUP(C175,Codes!$J$8:$O$117,6,FALSE),""))</f>
        <v/>
      </c>
      <c r="L175" s="10"/>
      <c r="M175" s="14" t="str">
        <f>IF(C175="","",LOWER(Codes!$B$4&amp;"-"&amp;G175&amp;IF(H175="","","-"&amp;H175)&amp;"-"&amp;C175&amp;"-"&amp;I175&amp;IF(J175="","","-"&amp;J175)&amp;"-"&amp;IF(L175="","01",TEXT(L175,"00"))))</f>
        <v/>
      </c>
      <c r="N175" s="15" t="str">
        <f>IF(C175="","",IF(ISNA(MATCH(C175,Codes!$J$8:$J$117,0)),"Unknown type code",IF(OR(G175="",I175=""),"Env and app required",IF(AND(VLOOKUP(C175,Codes!$J$8:$O$117,4,FALSE)="Global",H175&lt;&gt;""),"Global type: leave region blank",IF(AND(VLOOKUP(C175,Codes!$J$8:$O$117,4,FALSE)&lt;&gt;"Global",H175=""),"Region required",IF(AND(VLOOKUP(C175,Codes!$J$8:$O$117,5,FALSE)="Required",J175=""),"Qualifier required",IF(AND(VLOOKUP(C175,Codes!$J$8:$O$117,5,FALSE)="None",J175&lt;&gt;""),"This type takes no qualifier",IF(AND(J175&lt;&gt;"",VLOOKUP(C175,Codes!$J$8:$O$117,6,FALSE)&lt;&gt;"-",ISERROR(SEARCH(", "&amp;J175&amp;",",", "&amp;VLOOKUP(C175,Codes!$J$8:$O$117,6,FALSE)&amp;","))),"Qualifier not in allowed list",IF(COUNTIF($M$5:$M$304,M175)&gt;1,"Duplicate name","OK")))))))))</f>
        <v/>
      </c>
      <c r="O175" s="10"/>
      <c r="P175" s="10"/>
      <c r="Q175" s="10"/>
    </row>
    <row r="176" spans="1:17" x14ac:dyDescent="0.25">
      <c r="A176" s="10"/>
      <c r="B176" s="10"/>
      <c r="C176" s="10"/>
      <c r="D176" s="15" t="str">
        <f>IF(C176="","",IFERROR(VLOOKUP(C176,Codes!$J$8:$O$117,2,FALSE),"Unknown type"))</f>
        <v/>
      </c>
      <c r="E176" s="10"/>
      <c r="F176" s="10"/>
      <c r="G176" s="10"/>
      <c r="H176" s="10"/>
      <c r="I176" s="10"/>
      <c r="J176" s="10"/>
      <c r="K176" s="16" t="str">
        <f>IF(C176="","",IFERROR(VLOOKUP(C176,Codes!$J$8:$O$117,6,FALSE),""))</f>
        <v/>
      </c>
      <c r="L176" s="10"/>
      <c r="M176" s="14" t="str">
        <f>IF(C176="","",LOWER(Codes!$B$4&amp;"-"&amp;G176&amp;IF(H176="","","-"&amp;H176)&amp;"-"&amp;C176&amp;"-"&amp;I176&amp;IF(J176="","","-"&amp;J176)&amp;"-"&amp;IF(L176="","01",TEXT(L176,"00"))))</f>
        <v/>
      </c>
      <c r="N176" s="15" t="str">
        <f>IF(C176="","",IF(ISNA(MATCH(C176,Codes!$J$8:$J$117,0)),"Unknown type code",IF(OR(G176="",I176=""),"Env and app required",IF(AND(VLOOKUP(C176,Codes!$J$8:$O$117,4,FALSE)="Global",H176&lt;&gt;""),"Global type: leave region blank",IF(AND(VLOOKUP(C176,Codes!$J$8:$O$117,4,FALSE)&lt;&gt;"Global",H176=""),"Region required",IF(AND(VLOOKUP(C176,Codes!$J$8:$O$117,5,FALSE)="Required",J176=""),"Qualifier required",IF(AND(VLOOKUP(C176,Codes!$J$8:$O$117,5,FALSE)="None",J176&lt;&gt;""),"This type takes no qualifier",IF(AND(J176&lt;&gt;"",VLOOKUP(C176,Codes!$J$8:$O$117,6,FALSE)&lt;&gt;"-",ISERROR(SEARCH(", "&amp;J176&amp;",",", "&amp;VLOOKUP(C176,Codes!$J$8:$O$117,6,FALSE)&amp;","))),"Qualifier not in allowed list",IF(COUNTIF($M$5:$M$304,M176)&gt;1,"Duplicate name","OK")))))))))</f>
        <v/>
      </c>
      <c r="O176" s="10"/>
      <c r="P176" s="10"/>
      <c r="Q176" s="10"/>
    </row>
    <row r="177" spans="1:17" x14ac:dyDescent="0.25">
      <c r="A177" s="10"/>
      <c r="B177" s="10"/>
      <c r="C177" s="10"/>
      <c r="D177" s="15" t="str">
        <f>IF(C177="","",IFERROR(VLOOKUP(C177,Codes!$J$8:$O$117,2,FALSE),"Unknown type"))</f>
        <v/>
      </c>
      <c r="E177" s="10"/>
      <c r="F177" s="10"/>
      <c r="G177" s="10"/>
      <c r="H177" s="10"/>
      <c r="I177" s="10"/>
      <c r="J177" s="10"/>
      <c r="K177" s="16" t="str">
        <f>IF(C177="","",IFERROR(VLOOKUP(C177,Codes!$J$8:$O$117,6,FALSE),""))</f>
        <v/>
      </c>
      <c r="L177" s="10"/>
      <c r="M177" s="14" t="str">
        <f>IF(C177="","",LOWER(Codes!$B$4&amp;"-"&amp;G177&amp;IF(H177="","","-"&amp;H177)&amp;"-"&amp;C177&amp;"-"&amp;I177&amp;IF(J177="","","-"&amp;J177)&amp;"-"&amp;IF(L177="","01",TEXT(L177,"00"))))</f>
        <v/>
      </c>
      <c r="N177" s="15" t="str">
        <f>IF(C177="","",IF(ISNA(MATCH(C177,Codes!$J$8:$J$117,0)),"Unknown type code",IF(OR(G177="",I177=""),"Env and app required",IF(AND(VLOOKUP(C177,Codes!$J$8:$O$117,4,FALSE)="Global",H177&lt;&gt;""),"Global type: leave region blank",IF(AND(VLOOKUP(C177,Codes!$J$8:$O$117,4,FALSE)&lt;&gt;"Global",H177=""),"Region required",IF(AND(VLOOKUP(C177,Codes!$J$8:$O$117,5,FALSE)="Required",J177=""),"Qualifier required",IF(AND(VLOOKUP(C177,Codes!$J$8:$O$117,5,FALSE)="None",J177&lt;&gt;""),"This type takes no qualifier",IF(AND(J177&lt;&gt;"",VLOOKUP(C177,Codes!$J$8:$O$117,6,FALSE)&lt;&gt;"-",ISERROR(SEARCH(", "&amp;J177&amp;",",", "&amp;VLOOKUP(C177,Codes!$J$8:$O$117,6,FALSE)&amp;","))),"Qualifier not in allowed list",IF(COUNTIF($M$5:$M$304,M177)&gt;1,"Duplicate name","OK")))))))))</f>
        <v/>
      </c>
      <c r="O177" s="10"/>
      <c r="P177" s="10"/>
      <c r="Q177" s="10"/>
    </row>
    <row r="178" spans="1:17" x14ac:dyDescent="0.25">
      <c r="A178" s="10"/>
      <c r="B178" s="10"/>
      <c r="C178" s="10"/>
      <c r="D178" s="15" t="str">
        <f>IF(C178="","",IFERROR(VLOOKUP(C178,Codes!$J$8:$O$117,2,FALSE),"Unknown type"))</f>
        <v/>
      </c>
      <c r="E178" s="10"/>
      <c r="F178" s="10"/>
      <c r="G178" s="10"/>
      <c r="H178" s="10"/>
      <c r="I178" s="10"/>
      <c r="J178" s="10"/>
      <c r="K178" s="16" t="str">
        <f>IF(C178="","",IFERROR(VLOOKUP(C178,Codes!$J$8:$O$117,6,FALSE),""))</f>
        <v/>
      </c>
      <c r="L178" s="10"/>
      <c r="M178" s="14" t="str">
        <f>IF(C178="","",LOWER(Codes!$B$4&amp;"-"&amp;G178&amp;IF(H178="","","-"&amp;H178)&amp;"-"&amp;C178&amp;"-"&amp;I178&amp;IF(J178="","","-"&amp;J178)&amp;"-"&amp;IF(L178="","01",TEXT(L178,"00"))))</f>
        <v/>
      </c>
      <c r="N178" s="15" t="str">
        <f>IF(C178="","",IF(ISNA(MATCH(C178,Codes!$J$8:$J$117,0)),"Unknown type code",IF(OR(G178="",I178=""),"Env and app required",IF(AND(VLOOKUP(C178,Codes!$J$8:$O$117,4,FALSE)="Global",H178&lt;&gt;""),"Global type: leave region blank",IF(AND(VLOOKUP(C178,Codes!$J$8:$O$117,4,FALSE)&lt;&gt;"Global",H178=""),"Region required",IF(AND(VLOOKUP(C178,Codes!$J$8:$O$117,5,FALSE)="Required",J178=""),"Qualifier required",IF(AND(VLOOKUP(C178,Codes!$J$8:$O$117,5,FALSE)="None",J178&lt;&gt;""),"This type takes no qualifier",IF(AND(J178&lt;&gt;"",VLOOKUP(C178,Codes!$J$8:$O$117,6,FALSE)&lt;&gt;"-",ISERROR(SEARCH(", "&amp;J178&amp;",",", "&amp;VLOOKUP(C178,Codes!$J$8:$O$117,6,FALSE)&amp;","))),"Qualifier not in allowed list",IF(COUNTIF($M$5:$M$304,M178)&gt;1,"Duplicate name","OK")))))))))</f>
        <v/>
      </c>
      <c r="O178" s="10"/>
      <c r="P178" s="10"/>
      <c r="Q178" s="10"/>
    </row>
    <row r="179" spans="1:17" x14ac:dyDescent="0.25">
      <c r="A179" s="10"/>
      <c r="B179" s="10"/>
      <c r="C179" s="10"/>
      <c r="D179" s="15" t="str">
        <f>IF(C179="","",IFERROR(VLOOKUP(C179,Codes!$J$8:$O$117,2,FALSE),"Unknown type"))</f>
        <v/>
      </c>
      <c r="E179" s="10"/>
      <c r="F179" s="10"/>
      <c r="G179" s="10"/>
      <c r="H179" s="10"/>
      <c r="I179" s="10"/>
      <c r="J179" s="10"/>
      <c r="K179" s="16" t="str">
        <f>IF(C179="","",IFERROR(VLOOKUP(C179,Codes!$J$8:$O$117,6,FALSE),""))</f>
        <v/>
      </c>
      <c r="L179" s="10"/>
      <c r="M179" s="14" t="str">
        <f>IF(C179="","",LOWER(Codes!$B$4&amp;"-"&amp;G179&amp;IF(H179="","","-"&amp;H179)&amp;"-"&amp;C179&amp;"-"&amp;I179&amp;IF(J179="","","-"&amp;J179)&amp;"-"&amp;IF(L179="","01",TEXT(L179,"00"))))</f>
        <v/>
      </c>
      <c r="N179" s="15" t="str">
        <f>IF(C179="","",IF(ISNA(MATCH(C179,Codes!$J$8:$J$117,0)),"Unknown type code",IF(OR(G179="",I179=""),"Env and app required",IF(AND(VLOOKUP(C179,Codes!$J$8:$O$117,4,FALSE)="Global",H179&lt;&gt;""),"Global type: leave region blank",IF(AND(VLOOKUP(C179,Codes!$J$8:$O$117,4,FALSE)&lt;&gt;"Global",H179=""),"Region required",IF(AND(VLOOKUP(C179,Codes!$J$8:$O$117,5,FALSE)="Required",J179=""),"Qualifier required",IF(AND(VLOOKUP(C179,Codes!$J$8:$O$117,5,FALSE)="None",J179&lt;&gt;""),"This type takes no qualifier",IF(AND(J179&lt;&gt;"",VLOOKUP(C179,Codes!$J$8:$O$117,6,FALSE)&lt;&gt;"-",ISERROR(SEARCH(", "&amp;J179&amp;",",", "&amp;VLOOKUP(C179,Codes!$J$8:$O$117,6,FALSE)&amp;","))),"Qualifier not in allowed list",IF(COUNTIF($M$5:$M$304,M179)&gt;1,"Duplicate name","OK")))))))))</f>
        <v/>
      </c>
      <c r="O179" s="10"/>
      <c r="P179" s="10"/>
      <c r="Q179" s="10"/>
    </row>
    <row r="180" spans="1:17" x14ac:dyDescent="0.25">
      <c r="A180" s="10"/>
      <c r="B180" s="10"/>
      <c r="C180" s="10"/>
      <c r="D180" s="15" t="str">
        <f>IF(C180="","",IFERROR(VLOOKUP(C180,Codes!$J$8:$O$117,2,FALSE),"Unknown type"))</f>
        <v/>
      </c>
      <c r="E180" s="10"/>
      <c r="F180" s="10"/>
      <c r="G180" s="10"/>
      <c r="H180" s="10"/>
      <c r="I180" s="10"/>
      <c r="J180" s="10"/>
      <c r="K180" s="16" t="str">
        <f>IF(C180="","",IFERROR(VLOOKUP(C180,Codes!$J$8:$O$117,6,FALSE),""))</f>
        <v/>
      </c>
      <c r="L180" s="10"/>
      <c r="M180" s="14" t="str">
        <f>IF(C180="","",LOWER(Codes!$B$4&amp;"-"&amp;G180&amp;IF(H180="","","-"&amp;H180)&amp;"-"&amp;C180&amp;"-"&amp;I180&amp;IF(J180="","","-"&amp;J180)&amp;"-"&amp;IF(L180="","01",TEXT(L180,"00"))))</f>
        <v/>
      </c>
      <c r="N180" s="15" t="str">
        <f>IF(C180="","",IF(ISNA(MATCH(C180,Codes!$J$8:$J$117,0)),"Unknown type code",IF(OR(G180="",I180=""),"Env and app required",IF(AND(VLOOKUP(C180,Codes!$J$8:$O$117,4,FALSE)="Global",H180&lt;&gt;""),"Global type: leave region blank",IF(AND(VLOOKUP(C180,Codes!$J$8:$O$117,4,FALSE)&lt;&gt;"Global",H180=""),"Region required",IF(AND(VLOOKUP(C180,Codes!$J$8:$O$117,5,FALSE)="Required",J180=""),"Qualifier required",IF(AND(VLOOKUP(C180,Codes!$J$8:$O$117,5,FALSE)="None",J180&lt;&gt;""),"This type takes no qualifier",IF(AND(J180&lt;&gt;"",VLOOKUP(C180,Codes!$J$8:$O$117,6,FALSE)&lt;&gt;"-",ISERROR(SEARCH(", "&amp;J180&amp;",",", "&amp;VLOOKUP(C180,Codes!$J$8:$O$117,6,FALSE)&amp;","))),"Qualifier not in allowed list",IF(COUNTIF($M$5:$M$304,M180)&gt;1,"Duplicate name","OK")))))))))</f>
        <v/>
      </c>
      <c r="O180" s="10"/>
      <c r="P180" s="10"/>
      <c r="Q180" s="10"/>
    </row>
    <row r="181" spans="1:17" x14ac:dyDescent="0.25">
      <c r="A181" s="10"/>
      <c r="B181" s="10"/>
      <c r="C181" s="10"/>
      <c r="D181" s="15" t="str">
        <f>IF(C181="","",IFERROR(VLOOKUP(C181,Codes!$J$8:$O$117,2,FALSE),"Unknown type"))</f>
        <v/>
      </c>
      <c r="E181" s="10"/>
      <c r="F181" s="10"/>
      <c r="G181" s="10"/>
      <c r="H181" s="10"/>
      <c r="I181" s="10"/>
      <c r="J181" s="10"/>
      <c r="K181" s="16" t="str">
        <f>IF(C181="","",IFERROR(VLOOKUP(C181,Codes!$J$8:$O$117,6,FALSE),""))</f>
        <v/>
      </c>
      <c r="L181" s="10"/>
      <c r="M181" s="14" t="str">
        <f>IF(C181="","",LOWER(Codes!$B$4&amp;"-"&amp;G181&amp;IF(H181="","","-"&amp;H181)&amp;"-"&amp;C181&amp;"-"&amp;I181&amp;IF(J181="","","-"&amp;J181)&amp;"-"&amp;IF(L181="","01",TEXT(L181,"00"))))</f>
        <v/>
      </c>
      <c r="N181" s="15" t="str">
        <f>IF(C181="","",IF(ISNA(MATCH(C181,Codes!$J$8:$J$117,0)),"Unknown type code",IF(OR(G181="",I181=""),"Env and app required",IF(AND(VLOOKUP(C181,Codes!$J$8:$O$117,4,FALSE)="Global",H181&lt;&gt;""),"Global type: leave region blank",IF(AND(VLOOKUP(C181,Codes!$J$8:$O$117,4,FALSE)&lt;&gt;"Global",H181=""),"Region required",IF(AND(VLOOKUP(C181,Codes!$J$8:$O$117,5,FALSE)="Required",J181=""),"Qualifier required",IF(AND(VLOOKUP(C181,Codes!$J$8:$O$117,5,FALSE)="None",J181&lt;&gt;""),"This type takes no qualifier",IF(AND(J181&lt;&gt;"",VLOOKUP(C181,Codes!$J$8:$O$117,6,FALSE)&lt;&gt;"-",ISERROR(SEARCH(", "&amp;J181&amp;",",", "&amp;VLOOKUP(C181,Codes!$J$8:$O$117,6,FALSE)&amp;","))),"Qualifier not in allowed list",IF(COUNTIF($M$5:$M$304,M181)&gt;1,"Duplicate name","OK")))))))))</f>
        <v/>
      </c>
      <c r="O181" s="10"/>
      <c r="P181" s="10"/>
      <c r="Q181" s="10"/>
    </row>
    <row r="182" spans="1:17" x14ac:dyDescent="0.25">
      <c r="A182" s="10"/>
      <c r="B182" s="10"/>
      <c r="C182" s="10"/>
      <c r="D182" s="15" t="str">
        <f>IF(C182="","",IFERROR(VLOOKUP(C182,Codes!$J$8:$O$117,2,FALSE),"Unknown type"))</f>
        <v/>
      </c>
      <c r="E182" s="10"/>
      <c r="F182" s="10"/>
      <c r="G182" s="10"/>
      <c r="H182" s="10"/>
      <c r="I182" s="10"/>
      <c r="J182" s="10"/>
      <c r="K182" s="16" t="str">
        <f>IF(C182="","",IFERROR(VLOOKUP(C182,Codes!$J$8:$O$117,6,FALSE),""))</f>
        <v/>
      </c>
      <c r="L182" s="10"/>
      <c r="M182" s="14" t="str">
        <f>IF(C182="","",LOWER(Codes!$B$4&amp;"-"&amp;G182&amp;IF(H182="","","-"&amp;H182)&amp;"-"&amp;C182&amp;"-"&amp;I182&amp;IF(J182="","","-"&amp;J182)&amp;"-"&amp;IF(L182="","01",TEXT(L182,"00"))))</f>
        <v/>
      </c>
      <c r="N182" s="15" t="str">
        <f>IF(C182="","",IF(ISNA(MATCH(C182,Codes!$J$8:$J$117,0)),"Unknown type code",IF(OR(G182="",I182=""),"Env and app required",IF(AND(VLOOKUP(C182,Codes!$J$8:$O$117,4,FALSE)="Global",H182&lt;&gt;""),"Global type: leave region blank",IF(AND(VLOOKUP(C182,Codes!$J$8:$O$117,4,FALSE)&lt;&gt;"Global",H182=""),"Region required",IF(AND(VLOOKUP(C182,Codes!$J$8:$O$117,5,FALSE)="Required",J182=""),"Qualifier required",IF(AND(VLOOKUP(C182,Codes!$J$8:$O$117,5,FALSE)="None",J182&lt;&gt;""),"This type takes no qualifier",IF(AND(J182&lt;&gt;"",VLOOKUP(C182,Codes!$J$8:$O$117,6,FALSE)&lt;&gt;"-",ISERROR(SEARCH(", "&amp;J182&amp;",",", "&amp;VLOOKUP(C182,Codes!$J$8:$O$117,6,FALSE)&amp;","))),"Qualifier not in allowed list",IF(COUNTIF($M$5:$M$304,M182)&gt;1,"Duplicate name","OK")))))))))</f>
        <v/>
      </c>
      <c r="O182" s="10"/>
      <c r="P182" s="10"/>
      <c r="Q182" s="10"/>
    </row>
    <row r="183" spans="1:17" x14ac:dyDescent="0.25">
      <c r="A183" s="10"/>
      <c r="B183" s="10"/>
      <c r="C183" s="10"/>
      <c r="D183" s="15" t="str">
        <f>IF(C183="","",IFERROR(VLOOKUP(C183,Codes!$J$8:$O$117,2,FALSE),"Unknown type"))</f>
        <v/>
      </c>
      <c r="E183" s="10"/>
      <c r="F183" s="10"/>
      <c r="G183" s="10"/>
      <c r="H183" s="10"/>
      <c r="I183" s="10"/>
      <c r="J183" s="10"/>
      <c r="K183" s="16" t="str">
        <f>IF(C183="","",IFERROR(VLOOKUP(C183,Codes!$J$8:$O$117,6,FALSE),""))</f>
        <v/>
      </c>
      <c r="L183" s="10"/>
      <c r="M183" s="14" t="str">
        <f>IF(C183="","",LOWER(Codes!$B$4&amp;"-"&amp;G183&amp;IF(H183="","","-"&amp;H183)&amp;"-"&amp;C183&amp;"-"&amp;I183&amp;IF(J183="","","-"&amp;J183)&amp;"-"&amp;IF(L183="","01",TEXT(L183,"00"))))</f>
        <v/>
      </c>
      <c r="N183" s="15" t="str">
        <f>IF(C183="","",IF(ISNA(MATCH(C183,Codes!$J$8:$J$117,0)),"Unknown type code",IF(OR(G183="",I183=""),"Env and app required",IF(AND(VLOOKUP(C183,Codes!$J$8:$O$117,4,FALSE)="Global",H183&lt;&gt;""),"Global type: leave region blank",IF(AND(VLOOKUP(C183,Codes!$J$8:$O$117,4,FALSE)&lt;&gt;"Global",H183=""),"Region required",IF(AND(VLOOKUP(C183,Codes!$J$8:$O$117,5,FALSE)="Required",J183=""),"Qualifier required",IF(AND(VLOOKUP(C183,Codes!$J$8:$O$117,5,FALSE)="None",J183&lt;&gt;""),"This type takes no qualifier",IF(AND(J183&lt;&gt;"",VLOOKUP(C183,Codes!$J$8:$O$117,6,FALSE)&lt;&gt;"-",ISERROR(SEARCH(", "&amp;J183&amp;",",", "&amp;VLOOKUP(C183,Codes!$J$8:$O$117,6,FALSE)&amp;","))),"Qualifier not in allowed list",IF(COUNTIF($M$5:$M$304,M183)&gt;1,"Duplicate name","OK")))))))))</f>
        <v/>
      </c>
      <c r="O183" s="10"/>
      <c r="P183" s="10"/>
      <c r="Q183" s="10"/>
    </row>
    <row r="184" spans="1:17" x14ac:dyDescent="0.25">
      <c r="A184" s="10"/>
      <c r="B184" s="10"/>
      <c r="C184" s="10"/>
      <c r="D184" s="15" t="str">
        <f>IF(C184="","",IFERROR(VLOOKUP(C184,Codes!$J$8:$O$117,2,FALSE),"Unknown type"))</f>
        <v/>
      </c>
      <c r="E184" s="10"/>
      <c r="F184" s="10"/>
      <c r="G184" s="10"/>
      <c r="H184" s="10"/>
      <c r="I184" s="10"/>
      <c r="J184" s="10"/>
      <c r="K184" s="16" t="str">
        <f>IF(C184="","",IFERROR(VLOOKUP(C184,Codes!$J$8:$O$117,6,FALSE),""))</f>
        <v/>
      </c>
      <c r="L184" s="10"/>
      <c r="M184" s="14" t="str">
        <f>IF(C184="","",LOWER(Codes!$B$4&amp;"-"&amp;G184&amp;IF(H184="","","-"&amp;H184)&amp;"-"&amp;C184&amp;"-"&amp;I184&amp;IF(J184="","","-"&amp;J184)&amp;"-"&amp;IF(L184="","01",TEXT(L184,"00"))))</f>
        <v/>
      </c>
      <c r="N184" s="15" t="str">
        <f>IF(C184="","",IF(ISNA(MATCH(C184,Codes!$J$8:$J$117,0)),"Unknown type code",IF(OR(G184="",I184=""),"Env and app required",IF(AND(VLOOKUP(C184,Codes!$J$8:$O$117,4,FALSE)="Global",H184&lt;&gt;""),"Global type: leave region blank",IF(AND(VLOOKUP(C184,Codes!$J$8:$O$117,4,FALSE)&lt;&gt;"Global",H184=""),"Region required",IF(AND(VLOOKUP(C184,Codes!$J$8:$O$117,5,FALSE)="Required",J184=""),"Qualifier required",IF(AND(VLOOKUP(C184,Codes!$J$8:$O$117,5,FALSE)="None",J184&lt;&gt;""),"This type takes no qualifier",IF(AND(J184&lt;&gt;"",VLOOKUP(C184,Codes!$J$8:$O$117,6,FALSE)&lt;&gt;"-",ISERROR(SEARCH(", "&amp;J184&amp;",",", "&amp;VLOOKUP(C184,Codes!$J$8:$O$117,6,FALSE)&amp;","))),"Qualifier not in allowed list",IF(COUNTIF($M$5:$M$304,M184)&gt;1,"Duplicate name","OK")))))))))</f>
        <v/>
      </c>
      <c r="O184" s="10"/>
      <c r="P184" s="10"/>
      <c r="Q184" s="10"/>
    </row>
    <row r="185" spans="1:17" x14ac:dyDescent="0.25">
      <c r="A185" s="10"/>
      <c r="B185" s="10"/>
      <c r="C185" s="10"/>
      <c r="D185" s="15" t="str">
        <f>IF(C185="","",IFERROR(VLOOKUP(C185,Codes!$J$8:$O$117,2,FALSE),"Unknown type"))</f>
        <v/>
      </c>
      <c r="E185" s="10"/>
      <c r="F185" s="10"/>
      <c r="G185" s="10"/>
      <c r="H185" s="10"/>
      <c r="I185" s="10"/>
      <c r="J185" s="10"/>
      <c r="K185" s="16" t="str">
        <f>IF(C185="","",IFERROR(VLOOKUP(C185,Codes!$J$8:$O$117,6,FALSE),""))</f>
        <v/>
      </c>
      <c r="L185" s="10"/>
      <c r="M185" s="14" t="str">
        <f>IF(C185="","",LOWER(Codes!$B$4&amp;"-"&amp;G185&amp;IF(H185="","","-"&amp;H185)&amp;"-"&amp;C185&amp;"-"&amp;I185&amp;IF(J185="","","-"&amp;J185)&amp;"-"&amp;IF(L185="","01",TEXT(L185,"00"))))</f>
        <v/>
      </c>
      <c r="N185" s="15" t="str">
        <f>IF(C185="","",IF(ISNA(MATCH(C185,Codes!$J$8:$J$117,0)),"Unknown type code",IF(OR(G185="",I185=""),"Env and app required",IF(AND(VLOOKUP(C185,Codes!$J$8:$O$117,4,FALSE)="Global",H185&lt;&gt;""),"Global type: leave region blank",IF(AND(VLOOKUP(C185,Codes!$J$8:$O$117,4,FALSE)&lt;&gt;"Global",H185=""),"Region required",IF(AND(VLOOKUP(C185,Codes!$J$8:$O$117,5,FALSE)="Required",J185=""),"Qualifier required",IF(AND(VLOOKUP(C185,Codes!$J$8:$O$117,5,FALSE)="None",J185&lt;&gt;""),"This type takes no qualifier",IF(AND(J185&lt;&gt;"",VLOOKUP(C185,Codes!$J$8:$O$117,6,FALSE)&lt;&gt;"-",ISERROR(SEARCH(", "&amp;J185&amp;",",", "&amp;VLOOKUP(C185,Codes!$J$8:$O$117,6,FALSE)&amp;","))),"Qualifier not in allowed list",IF(COUNTIF($M$5:$M$304,M185)&gt;1,"Duplicate name","OK")))))))))</f>
        <v/>
      </c>
      <c r="O185" s="10"/>
      <c r="P185" s="10"/>
      <c r="Q185" s="10"/>
    </row>
    <row r="186" spans="1:17" x14ac:dyDescent="0.25">
      <c r="A186" s="10"/>
      <c r="B186" s="10"/>
      <c r="C186" s="10"/>
      <c r="D186" s="15" t="str">
        <f>IF(C186="","",IFERROR(VLOOKUP(C186,Codes!$J$8:$O$117,2,FALSE),"Unknown type"))</f>
        <v/>
      </c>
      <c r="E186" s="10"/>
      <c r="F186" s="10"/>
      <c r="G186" s="10"/>
      <c r="H186" s="10"/>
      <c r="I186" s="10"/>
      <c r="J186" s="10"/>
      <c r="K186" s="16" t="str">
        <f>IF(C186="","",IFERROR(VLOOKUP(C186,Codes!$J$8:$O$117,6,FALSE),""))</f>
        <v/>
      </c>
      <c r="L186" s="10"/>
      <c r="M186" s="14" t="str">
        <f>IF(C186="","",LOWER(Codes!$B$4&amp;"-"&amp;G186&amp;IF(H186="","","-"&amp;H186)&amp;"-"&amp;C186&amp;"-"&amp;I186&amp;IF(J186="","","-"&amp;J186)&amp;"-"&amp;IF(L186="","01",TEXT(L186,"00"))))</f>
        <v/>
      </c>
      <c r="N186" s="15" t="str">
        <f>IF(C186="","",IF(ISNA(MATCH(C186,Codes!$J$8:$J$117,0)),"Unknown type code",IF(OR(G186="",I186=""),"Env and app required",IF(AND(VLOOKUP(C186,Codes!$J$8:$O$117,4,FALSE)="Global",H186&lt;&gt;""),"Global type: leave region blank",IF(AND(VLOOKUP(C186,Codes!$J$8:$O$117,4,FALSE)&lt;&gt;"Global",H186=""),"Region required",IF(AND(VLOOKUP(C186,Codes!$J$8:$O$117,5,FALSE)="Required",J186=""),"Qualifier required",IF(AND(VLOOKUP(C186,Codes!$J$8:$O$117,5,FALSE)="None",J186&lt;&gt;""),"This type takes no qualifier",IF(AND(J186&lt;&gt;"",VLOOKUP(C186,Codes!$J$8:$O$117,6,FALSE)&lt;&gt;"-",ISERROR(SEARCH(", "&amp;J186&amp;",",", "&amp;VLOOKUP(C186,Codes!$J$8:$O$117,6,FALSE)&amp;","))),"Qualifier not in allowed list",IF(COUNTIF($M$5:$M$304,M186)&gt;1,"Duplicate name","OK")))))))))</f>
        <v/>
      </c>
      <c r="O186" s="10"/>
      <c r="P186" s="10"/>
      <c r="Q186" s="10"/>
    </row>
    <row r="187" spans="1:17" x14ac:dyDescent="0.25">
      <c r="A187" s="10"/>
      <c r="B187" s="10"/>
      <c r="C187" s="10"/>
      <c r="D187" s="15" t="str">
        <f>IF(C187="","",IFERROR(VLOOKUP(C187,Codes!$J$8:$O$117,2,FALSE),"Unknown type"))</f>
        <v/>
      </c>
      <c r="E187" s="10"/>
      <c r="F187" s="10"/>
      <c r="G187" s="10"/>
      <c r="H187" s="10"/>
      <c r="I187" s="10"/>
      <c r="J187" s="10"/>
      <c r="K187" s="16" t="str">
        <f>IF(C187="","",IFERROR(VLOOKUP(C187,Codes!$J$8:$O$117,6,FALSE),""))</f>
        <v/>
      </c>
      <c r="L187" s="10"/>
      <c r="M187" s="14" t="str">
        <f>IF(C187="","",LOWER(Codes!$B$4&amp;"-"&amp;G187&amp;IF(H187="","","-"&amp;H187)&amp;"-"&amp;C187&amp;"-"&amp;I187&amp;IF(J187="","","-"&amp;J187)&amp;"-"&amp;IF(L187="","01",TEXT(L187,"00"))))</f>
        <v/>
      </c>
      <c r="N187" s="15" t="str">
        <f>IF(C187="","",IF(ISNA(MATCH(C187,Codes!$J$8:$J$117,0)),"Unknown type code",IF(OR(G187="",I187=""),"Env and app required",IF(AND(VLOOKUP(C187,Codes!$J$8:$O$117,4,FALSE)="Global",H187&lt;&gt;""),"Global type: leave region blank",IF(AND(VLOOKUP(C187,Codes!$J$8:$O$117,4,FALSE)&lt;&gt;"Global",H187=""),"Region required",IF(AND(VLOOKUP(C187,Codes!$J$8:$O$117,5,FALSE)="Required",J187=""),"Qualifier required",IF(AND(VLOOKUP(C187,Codes!$J$8:$O$117,5,FALSE)="None",J187&lt;&gt;""),"This type takes no qualifier",IF(AND(J187&lt;&gt;"",VLOOKUP(C187,Codes!$J$8:$O$117,6,FALSE)&lt;&gt;"-",ISERROR(SEARCH(", "&amp;J187&amp;",",", "&amp;VLOOKUP(C187,Codes!$J$8:$O$117,6,FALSE)&amp;","))),"Qualifier not in allowed list",IF(COUNTIF($M$5:$M$304,M187)&gt;1,"Duplicate name","OK")))))))))</f>
        <v/>
      </c>
      <c r="O187" s="10"/>
      <c r="P187" s="10"/>
      <c r="Q187" s="10"/>
    </row>
    <row r="188" spans="1:17" x14ac:dyDescent="0.25">
      <c r="A188" s="10"/>
      <c r="B188" s="10"/>
      <c r="C188" s="10"/>
      <c r="D188" s="15" t="str">
        <f>IF(C188="","",IFERROR(VLOOKUP(C188,Codes!$J$8:$O$117,2,FALSE),"Unknown type"))</f>
        <v/>
      </c>
      <c r="E188" s="10"/>
      <c r="F188" s="10"/>
      <c r="G188" s="10"/>
      <c r="H188" s="10"/>
      <c r="I188" s="10"/>
      <c r="J188" s="10"/>
      <c r="K188" s="16" t="str">
        <f>IF(C188="","",IFERROR(VLOOKUP(C188,Codes!$J$8:$O$117,6,FALSE),""))</f>
        <v/>
      </c>
      <c r="L188" s="10"/>
      <c r="M188" s="14" t="str">
        <f>IF(C188="","",LOWER(Codes!$B$4&amp;"-"&amp;G188&amp;IF(H188="","","-"&amp;H188)&amp;"-"&amp;C188&amp;"-"&amp;I188&amp;IF(J188="","","-"&amp;J188)&amp;"-"&amp;IF(L188="","01",TEXT(L188,"00"))))</f>
        <v/>
      </c>
      <c r="N188" s="15" t="str">
        <f>IF(C188="","",IF(ISNA(MATCH(C188,Codes!$J$8:$J$117,0)),"Unknown type code",IF(OR(G188="",I188=""),"Env and app required",IF(AND(VLOOKUP(C188,Codes!$J$8:$O$117,4,FALSE)="Global",H188&lt;&gt;""),"Global type: leave region blank",IF(AND(VLOOKUP(C188,Codes!$J$8:$O$117,4,FALSE)&lt;&gt;"Global",H188=""),"Region required",IF(AND(VLOOKUP(C188,Codes!$J$8:$O$117,5,FALSE)="Required",J188=""),"Qualifier required",IF(AND(VLOOKUP(C188,Codes!$J$8:$O$117,5,FALSE)="None",J188&lt;&gt;""),"This type takes no qualifier",IF(AND(J188&lt;&gt;"",VLOOKUP(C188,Codes!$J$8:$O$117,6,FALSE)&lt;&gt;"-",ISERROR(SEARCH(", "&amp;J188&amp;",",", "&amp;VLOOKUP(C188,Codes!$J$8:$O$117,6,FALSE)&amp;","))),"Qualifier not in allowed list",IF(COUNTIF($M$5:$M$304,M188)&gt;1,"Duplicate name","OK")))))))))</f>
        <v/>
      </c>
      <c r="O188" s="10"/>
      <c r="P188" s="10"/>
      <c r="Q188" s="10"/>
    </row>
    <row r="189" spans="1:17" x14ac:dyDescent="0.25">
      <c r="A189" s="10"/>
      <c r="B189" s="10"/>
      <c r="C189" s="10"/>
      <c r="D189" s="15" t="str">
        <f>IF(C189="","",IFERROR(VLOOKUP(C189,Codes!$J$8:$O$117,2,FALSE),"Unknown type"))</f>
        <v/>
      </c>
      <c r="E189" s="10"/>
      <c r="F189" s="10"/>
      <c r="G189" s="10"/>
      <c r="H189" s="10"/>
      <c r="I189" s="10"/>
      <c r="J189" s="10"/>
      <c r="K189" s="16" t="str">
        <f>IF(C189="","",IFERROR(VLOOKUP(C189,Codes!$J$8:$O$117,6,FALSE),""))</f>
        <v/>
      </c>
      <c r="L189" s="10"/>
      <c r="M189" s="14" t="str">
        <f>IF(C189="","",LOWER(Codes!$B$4&amp;"-"&amp;G189&amp;IF(H189="","","-"&amp;H189)&amp;"-"&amp;C189&amp;"-"&amp;I189&amp;IF(J189="","","-"&amp;J189)&amp;"-"&amp;IF(L189="","01",TEXT(L189,"00"))))</f>
        <v/>
      </c>
      <c r="N189" s="15" t="str">
        <f>IF(C189="","",IF(ISNA(MATCH(C189,Codes!$J$8:$J$117,0)),"Unknown type code",IF(OR(G189="",I189=""),"Env and app required",IF(AND(VLOOKUP(C189,Codes!$J$8:$O$117,4,FALSE)="Global",H189&lt;&gt;""),"Global type: leave region blank",IF(AND(VLOOKUP(C189,Codes!$J$8:$O$117,4,FALSE)&lt;&gt;"Global",H189=""),"Region required",IF(AND(VLOOKUP(C189,Codes!$J$8:$O$117,5,FALSE)="Required",J189=""),"Qualifier required",IF(AND(VLOOKUP(C189,Codes!$J$8:$O$117,5,FALSE)="None",J189&lt;&gt;""),"This type takes no qualifier",IF(AND(J189&lt;&gt;"",VLOOKUP(C189,Codes!$J$8:$O$117,6,FALSE)&lt;&gt;"-",ISERROR(SEARCH(", "&amp;J189&amp;",",", "&amp;VLOOKUP(C189,Codes!$J$8:$O$117,6,FALSE)&amp;","))),"Qualifier not in allowed list",IF(COUNTIF($M$5:$M$304,M189)&gt;1,"Duplicate name","OK")))))))))</f>
        <v/>
      </c>
      <c r="O189" s="10"/>
      <c r="P189" s="10"/>
      <c r="Q189" s="10"/>
    </row>
    <row r="190" spans="1:17" x14ac:dyDescent="0.25">
      <c r="A190" s="10"/>
      <c r="B190" s="10"/>
      <c r="C190" s="10"/>
      <c r="D190" s="15" t="str">
        <f>IF(C190="","",IFERROR(VLOOKUP(C190,Codes!$J$8:$O$117,2,FALSE),"Unknown type"))</f>
        <v/>
      </c>
      <c r="E190" s="10"/>
      <c r="F190" s="10"/>
      <c r="G190" s="10"/>
      <c r="H190" s="10"/>
      <c r="I190" s="10"/>
      <c r="J190" s="10"/>
      <c r="K190" s="16" t="str">
        <f>IF(C190="","",IFERROR(VLOOKUP(C190,Codes!$J$8:$O$117,6,FALSE),""))</f>
        <v/>
      </c>
      <c r="L190" s="10"/>
      <c r="M190" s="14" t="str">
        <f>IF(C190="","",LOWER(Codes!$B$4&amp;"-"&amp;G190&amp;IF(H190="","","-"&amp;H190)&amp;"-"&amp;C190&amp;"-"&amp;I190&amp;IF(J190="","","-"&amp;J190)&amp;"-"&amp;IF(L190="","01",TEXT(L190,"00"))))</f>
        <v/>
      </c>
      <c r="N190" s="15" t="str">
        <f>IF(C190="","",IF(ISNA(MATCH(C190,Codes!$J$8:$J$117,0)),"Unknown type code",IF(OR(G190="",I190=""),"Env and app required",IF(AND(VLOOKUP(C190,Codes!$J$8:$O$117,4,FALSE)="Global",H190&lt;&gt;""),"Global type: leave region blank",IF(AND(VLOOKUP(C190,Codes!$J$8:$O$117,4,FALSE)&lt;&gt;"Global",H190=""),"Region required",IF(AND(VLOOKUP(C190,Codes!$J$8:$O$117,5,FALSE)="Required",J190=""),"Qualifier required",IF(AND(VLOOKUP(C190,Codes!$J$8:$O$117,5,FALSE)="None",J190&lt;&gt;""),"This type takes no qualifier",IF(AND(J190&lt;&gt;"",VLOOKUP(C190,Codes!$J$8:$O$117,6,FALSE)&lt;&gt;"-",ISERROR(SEARCH(", "&amp;J190&amp;",",", "&amp;VLOOKUP(C190,Codes!$J$8:$O$117,6,FALSE)&amp;","))),"Qualifier not in allowed list",IF(COUNTIF($M$5:$M$304,M190)&gt;1,"Duplicate name","OK")))))))))</f>
        <v/>
      </c>
      <c r="O190" s="10"/>
      <c r="P190" s="10"/>
      <c r="Q190" s="10"/>
    </row>
    <row r="191" spans="1:17" x14ac:dyDescent="0.25">
      <c r="A191" s="10"/>
      <c r="B191" s="10"/>
      <c r="C191" s="10"/>
      <c r="D191" s="15" t="str">
        <f>IF(C191="","",IFERROR(VLOOKUP(C191,Codes!$J$8:$O$117,2,FALSE),"Unknown type"))</f>
        <v/>
      </c>
      <c r="E191" s="10"/>
      <c r="F191" s="10"/>
      <c r="G191" s="10"/>
      <c r="H191" s="10"/>
      <c r="I191" s="10"/>
      <c r="J191" s="10"/>
      <c r="K191" s="16" t="str">
        <f>IF(C191="","",IFERROR(VLOOKUP(C191,Codes!$J$8:$O$117,6,FALSE),""))</f>
        <v/>
      </c>
      <c r="L191" s="10"/>
      <c r="M191" s="14" t="str">
        <f>IF(C191="","",LOWER(Codes!$B$4&amp;"-"&amp;G191&amp;IF(H191="","","-"&amp;H191)&amp;"-"&amp;C191&amp;"-"&amp;I191&amp;IF(J191="","","-"&amp;J191)&amp;"-"&amp;IF(L191="","01",TEXT(L191,"00"))))</f>
        <v/>
      </c>
      <c r="N191" s="15" t="str">
        <f>IF(C191="","",IF(ISNA(MATCH(C191,Codes!$J$8:$J$117,0)),"Unknown type code",IF(OR(G191="",I191=""),"Env and app required",IF(AND(VLOOKUP(C191,Codes!$J$8:$O$117,4,FALSE)="Global",H191&lt;&gt;""),"Global type: leave region blank",IF(AND(VLOOKUP(C191,Codes!$J$8:$O$117,4,FALSE)&lt;&gt;"Global",H191=""),"Region required",IF(AND(VLOOKUP(C191,Codes!$J$8:$O$117,5,FALSE)="Required",J191=""),"Qualifier required",IF(AND(VLOOKUP(C191,Codes!$J$8:$O$117,5,FALSE)="None",J191&lt;&gt;""),"This type takes no qualifier",IF(AND(J191&lt;&gt;"",VLOOKUP(C191,Codes!$J$8:$O$117,6,FALSE)&lt;&gt;"-",ISERROR(SEARCH(", "&amp;J191&amp;",",", "&amp;VLOOKUP(C191,Codes!$J$8:$O$117,6,FALSE)&amp;","))),"Qualifier not in allowed list",IF(COUNTIF($M$5:$M$304,M191)&gt;1,"Duplicate name","OK")))))))))</f>
        <v/>
      </c>
      <c r="O191" s="10"/>
      <c r="P191" s="10"/>
      <c r="Q191" s="10"/>
    </row>
    <row r="192" spans="1:17" x14ac:dyDescent="0.25">
      <c r="A192" s="10"/>
      <c r="B192" s="10"/>
      <c r="C192" s="10"/>
      <c r="D192" s="15" t="str">
        <f>IF(C192="","",IFERROR(VLOOKUP(C192,Codes!$J$8:$O$117,2,FALSE),"Unknown type"))</f>
        <v/>
      </c>
      <c r="E192" s="10"/>
      <c r="F192" s="10"/>
      <c r="G192" s="10"/>
      <c r="H192" s="10"/>
      <c r="I192" s="10"/>
      <c r="J192" s="10"/>
      <c r="K192" s="16" t="str">
        <f>IF(C192="","",IFERROR(VLOOKUP(C192,Codes!$J$8:$O$117,6,FALSE),""))</f>
        <v/>
      </c>
      <c r="L192" s="10"/>
      <c r="M192" s="14" t="str">
        <f>IF(C192="","",LOWER(Codes!$B$4&amp;"-"&amp;G192&amp;IF(H192="","","-"&amp;H192)&amp;"-"&amp;C192&amp;"-"&amp;I192&amp;IF(J192="","","-"&amp;J192)&amp;"-"&amp;IF(L192="","01",TEXT(L192,"00"))))</f>
        <v/>
      </c>
      <c r="N192" s="15" t="str">
        <f>IF(C192="","",IF(ISNA(MATCH(C192,Codes!$J$8:$J$117,0)),"Unknown type code",IF(OR(G192="",I192=""),"Env and app required",IF(AND(VLOOKUP(C192,Codes!$J$8:$O$117,4,FALSE)="Global",H192&lt;&gt;""),"Global type: leave region blank",IF(AND(VLOOKUP(C192,Codes!$J$8:$O$117,4,FALSE)&lt;&gt;"Global",H192=""),"Region required",IF(AND(VLOOKUP(C192,Codes!$J$8:$O$117,5,FALSE)="Required",J192=""),"Qualifier required",IF(AND(VLOOKUP(C192,Codes!$J$8:$O$117,5,FALSE)="None",J192&lt;&gt;""),"This type takes no qualifier",IF(AND(J192&lt;&gt;"",VLOOKUP(C192,Codes!$J$8:$O$117,6,FALSE)&lt;&gt;"-",ISERROR(SEARCH(", "&amp;J192&amp;",",", "&amp;VLOOKUP(C192,Codes!$J$8:$O$117,6,FALSE)&amp;","))),"Qualifier not in allowed list",IF(COUNTIF($M$5:$M$304,M192)&gt;1,"Duplicate name","OK")))))))))</f>
        <v/>
      </c>
      <c r="O192" s="10"/>
      <c r="P192" s="10"/>
      <c r="Q192" s="10"/>
    </row>
    <row r="193" spans="1:17" x14ac:dyDescent="0.25">
      <c r="A193" s="10"/>
      <c r="B193" s="10"/>
      <c r="C193" s="10"/>
      <c r="D193" s="15" t="str">
        <f>IF(C193="","",IFERROR(VLOOKUP(C193,Codes!$J$8:$O$117,2,FALSE),"Unknown type"))</f>
        <v/>
      </c>
      <c r="E193" s="10"/>
      <c r="F193" s="10"/>
      <c r="G193" s="10"/>
      <c r="H193" s="10"/>
      <c r="I193" s="10"/>
      <c r="J193" s="10"/>
      <c r="K193" s="16" t="str">
        <f>IF(C193="","",IFERROR(VLOOKUP(C193,Codes!$J$8:$O$117,6,FALSE),""))</f>
        <v/>
      </c>
      <c r="L193" s="10"/>
      <c r="M193" s="14" t="str">
        <f>IF(C193="","",LOWER(Codes!$B$4&amp;"-"&amp;G193&amp;IF(H193="","","-"&amp;H193)&amp;"-"&amp;C193&amp;"-"&amp;I193&amp;IF(J193="","","-"&amp;J193)&amp;"-"&amp;IF(L193="","01",TEXT(L193,"00"))))</f>
        <v/>
      </c>
      <c r="N193" s="15" t="str">
        <f>IF(C193="","",IF(ISNA(MATCH(C193,Codes!$J$8:$J$117,0)),"Unknown type code",IF(OR(G193="",I193=""),"Env and app required",IF(AND(VLOOKUP(C193,Codes!$J$8:$O$117,4,FALSE)="Global",H193&lt;&gt;""),"Global type: leave region blank",IF(AND(VLOOKUP(C193,Codes!$J$8:$O$117,4,FALSE)&lt;&gt;"Global",H193=""),"Region required",IF(AND(VLOOKUP(C193,Codes!$J$8:$O$117,5,FALSE)="Required",J193=""),"Qualifier required",IF(AND(VLOOKUP(C193,Codes!$J$8:$O$117,5,FALSE)="None",J193&lt;&gt;""),"This type takes no qualifier",IF(AND(J193&lt;&gt;"",VLOOKUP(C193,Codes!$J$8:$O$117,6,FALSE)&lt;&gt;"-",ISERROR(SEARCH(", "&amp;J193&amp;",",", "&amp;VLOOKUP(C193,Codes!$J$8:$O$117,6,FALSE)&amp;","))),"Qualifier not in allowed list",IF(COUNTIF($M$5:$M$304,M193)&gt;1,"Duplicate name","OK")))))))))</f>
        <v/>
      </c>
      <c r="O193" s="10"/>
      <c r="P193" s="10"/>
      <c r="Q193" s="10"/>
    </row>
    <row r="194" spans="1:17" x14ac:dyDescent="0.25">
      <c r="A194" s="10"/>
      <c r="B194" s="10"/>
      <c r="C194" s="10"/>
      <c r="D194" s="15" t="str">
        <f>IF(C194="","",IFERROR(VLOOKUP(C194,Codes!$J$8:$O$117,2,FALSE),"Unknown type"))</f>
        <v/>
      </c>
      <c r="E194" s="10"/>
      <c r="F194" s="10"/>
      <c r="G194" s="10"/>
      <c r="H194" s="10"/>
      <c r="I194" s="10"/>
      <c r="J194" s="10"/>
      <c r="K194" s="16" t="str">
        <f>IF(C194="","",IFERROR(VLOOKUP(C194,Codes!$J$8:$O$117,6,FALSE),""))</f>
        <v/>
      </c>
      <c r="L194" s="10"/>
      <c r="M194" s="14" t="str">
        <f>IF(C194="","",LOWER(Codes!$B$4&amp;"-"&amp;G194&amp;IF(H194="","","-"&amp;H194)&amp;"-"&amp;C194&amp;"-"&amp;I194&amp;IF(J194="","","-"&amp;J194)&amp;"-"&amp;IF(L194="","01",TEXT(L194,"00"))))</f>
        <v/>
      </c>
      <c r="N194" s="15" t="str">
        <f>IF(C194="","",IF(ISNA(MATCH(C194,Codes!$J$8:$J$117,0)),"Unknown type code",IF(OR(G194="",I194=""),"Env and app required",IF(AND(VLOOKUP(C194,Codes!$J$8:$O$117,4,FALSE)="Global",H194&lt;&gt;""),"Global type: leave region blank",IF(AND(VLOOKUP(C194,Codes!$J$8:$O$117,4,FALSE)&lt;&gt;"Global",H194=""),"Region required",IF(AND(VLOOKUP(C194,Codes!$J$8:$O$117,5,FALSE)="Required",J194=""),"Qualifier required",IF(AND(VLOOKUP(C194,Codes!$J$8:$O$117,5,FALSE)="None",J194&lt;&gt;""),"This type takes no qualifier",IF(AND(J194&lt;&gt;"",VLOOKUP(C194,Codes!$J$8:$O$117,6,FALSE)&lt;&gt;"-",ISERROR(SEARCH(", "&amp;J194&amp;",",", "&amp;VLOOKUP(C194,Codes!$J$8:$O$117,6,FALSE)&amp;","))),"Qualifier not in allowed list",IF(COUNTIF($M$5:$M$304,M194)&gt;1,"Duplicate name","OK")))))))))</f>
        <v/>
      </c>
      <c r="O194" s="10"/>
      <c r="P194" s="10"/>
      <c r="Q194" s="10"/>
    </row>
    <row r="195" spans="1:17" x14ac:dyDescent="0.25">
      <c r="A195" s="10"/>
      <c r="B195" s="10"/>
      <c r="C195" s="10"/>
      <c r="D195" s="15" t="str">
        <f>IF(C195="","",IFERROR(VLOOKUP(C195,Codes!$J$8:$O$117,2,FALSE),"Unknown type"))</f>
        <v/>
      </c>
      <c r="E195" s="10"/>
      <c r="F195" s="10"/>
      <c r="G195" s="10"/>
      <c r="H195" s="10"/>
      <c r="I195" s="10"/>
      <c r="J195" s="10"/>
      <c r="K195" s="16" t="str">
        <f>IF(C195="","",IFERROR(VLOOKUP(C195,Codes!$J$8:$O$117,6,FALSE),""))</f>
        <v/>
      </c>
      <c r="L195" s="10"/>
      <c r="M195" s="14" t="str">
        <f>IF(C195="","",LOWER(Codes!$B$4&amp;"-"&amp;G195&amp;IF(H195="","","-"&amp;H195)&amp;"-"&amp;C195&amp;"-"&amp;I195&amp;IF(J195="","","-"&amp;J195)&amp;"-"&amp;IF(L195="","01",TEXT(L195,"00"))))</f>
        <v/>
      </c>
      <c r="N195" s="15" t="str">
        <f>IF(C195="","",IF(ISNA(MATCH(C195,Codes!$J$8:$J$117,0)),"Unknown type code",IF(OR(G195="",I195=""),"Env and app required",IF(AND(VLOOKUP(C195,Codes!$J$8:$O$117,4,FALSE)="Global",H195&lt;&gt;""),"Global type: leave region blank",IF(AND(VLOOKUP(C195,Codes!$J$8:$O$117,4,FALSE)&lt;&gt;"Global",H195=""),"Region required",IF(AND(VLOOKUP(C195,Codes!$J$8:$O$117,5,FALSE)="Required",J195=""),"Qualifier required",IF(AND(VLOOKUP(C195,Codes!$J$8:$O$117,5,FALSE)="None",J195&lt;&gt;""),"This type takes no qualifier",IF(AND(J195&lt;&gt;"",VLOOKUP(C195,Codes!$J$8:$O$117,6,FALSE)&lt;&gt;"-",ISERROR(SEARCH(", "&amp;J195&amp;",",", "&amp;VLOOKUP(C195,Codes!$J$8:$O$117,6,FALSE)&amp;","))),"Qualifier not in allowed list",IF(COUNTIF($M$5:$M$304,M195)&gt;1,"Duplicate name","OK")))))))))</f>
        <v/>
      </c>
      <c r="O195" s="10"/>
      <c r="P195" s="10"/>
      <c r="Q195" s="10"/>
    </row>
    <row r="196" spans="1:17" x14ac:dyDescent="0.25">
      <c r="A196" s="10"/>
      <c r="B196" s="10"/>
      <c r="C196" s="10"/>
      <c r="D196" s="15" t="str">
        <f>IF(C196="","",IFERROR(VLOOKUP(C196,Codes!$J$8:$O$117,2,FALSE),"Unknown type"))</f>
        <v/>
      </c>
      <c r="E196" s="10"/>
      <c r="F196" s="10"/>
      <c r="G196" s="10"/>
      <c r="H196" s="10"/>
      <c r="I196" s="10"/>
      <c r="J196" s="10"/>
      <c r="K196" s="16" t="str">
        <f>IF(C196="","",IFERROR(VLOOKUP(C196,Codes!$J$8:$O$117,6,FALSE),""))</f>
        <v/>
      </c>
      <c r="L196" s="10"/>
      <c r="M196" s="14" t="str">
        <f>IF(C196="","",LOWER(Codes!$B$4&amp;"-"&amp;G196&amp;IF(H196="","","-"&amp;H196)&amp;"-"&amp;C196&amp;"-"&amp;I196&amp;IF(J196="","","-"&amp;J196)&amp;"-"&amp;IF(L196="","01",TEXT(L196,"00"))))</f>
        <v/>
      </c>
      <c r="N196" s="15" t="str">
        <f>IF(C196="","",IF(ISNA(MATCH(C196,Codes!$J$8:$J$117,0)),"Unknown type code",IF(OR(G196="",I196=""),"Env and app required",IF(AND(VLOOKUP(C196,Codes!$J$8:$O$117,4,FALSE)="Global",H196&lt;&gt;""),"Global type: leave region blank",IF(AND(VLOOKUP(C196,Codes!$J$8:$O$117,4,FALSE)&lt;&gt;"Global",H196=""),"Region required",IF(AND(VLOOKUP(C196,Codes!$J$8:$O$117,5,FALSE)="Required",J196=""),"Qualifier required",IF(AND(VLOOKUP(C196,Codes!$J$8:$O$117,5,FALSE)="None",J196&lt;&gt;""),"This type takes no qualifier",IF(AND(J196&lt;&gt;"",VLOOKUP(C196,Codes!$J$8:$O$117,6,FALSE)&lt;&gt;"-",ISERROR(SEARCH(", "&amp;J196&amp;",",", "&amp;VLOOKUP(C196,Codes!$J$8:$O$117,6,FALSE)&amp;","))),"Qualifier not in allowed list",IF(COUNTIF($M$5:$M$304,M196)&gt;1,"Duplicate name","OK")))))))))</f>
        <v/>
      </c>
      <c r="O196" s="10"/>
      <c r="P196" s="10"/>
      <c r="Q196" s="10"/>
    </row>
    <row r="197" spans="1:17" x14ac:dyDescent="0.25">
      <c r="A197" s="10"/>
      <c r="B197" s="10"/>
      <c r="C197" s="10"/>
      <c r="D197" s="15" t="str">
        <f>IF(C197="","",IFERROR(VLOOKUP(C197,Codes!$J$8:$O$117,2,FALSE),"Unknown type"))</f>
        <v/>
      </c>
      <c r="E197" s="10"/>
      <c r="F197" s="10"/>
      <c r="G197" s="10"/>
      <c r="H197" s="10"/>
      <c r="I197" s="10"/>
      <c r="J197" s="10"/>
      <c r="K197" s="16" t="str">
        <f>IF(C197="","",IFERROR(VLOOKUP(C197,Codes!$J$8:$O$117,6,FALSE),""))</f>
        <v/>
      </c>
      <c r="L197" s="10"/>
      <c r="M197" s="14" t="str">
        <f>IF(C197="","",LOWER(Codes!$B$4&amp;"-"&amp;G197&amp;IF(H197="","","-"&amp;H197)&amp;"-"&amp;C197&amp;"-"&amp;I197&amp;IF(J197="","","-"&amp;J197)&amp;"-"&amp;IF(L197="","01",TEXT(L197,"00"))))</f>
        <v/>
      </c>
      <c r="N197" s="15" t="str">
        <f>IF(C197="","",IF(ISNA(MATCH(C197,Codes!$J$8:$J$117,0)),"Unknown type code",IF(OR(G197="",I197=""),"Env and app required",IF(AND(VLOOKUP(C197,Codes!$J$8:$O$117,4,FALSE)="Global",H197&lt;&gt;""),"Global type: leave region blank",IF(AND(VLOOKUP(C197,Codes!$J$8:$O$117,4,FALSE)&lt;&gt;"Global",H197=""),"Region required",IF(AND(VLOOKUP(C197,Codes!$J$8:$O$117,5,FALSE)="Required",J197=""),"Qualifier required",IF(AND(VLOOKUP(C197,Codes!$J$8:$O$117,5,FALSE)="None",J197&lt;&gt;""),"This type takes no qualifier",IF(AND(J197&lt;&gt;"",VLOOKUP(C197,Codes!$J$8:$O$117,6,FALSE)&lt;&gt;"-",ISERROR(SEARCH(", "&amp;J197&amp;",",", "&amp;VLOOKUP(C197,Codes!$J$8:$O$117,6,FALSE)&amp;","))),"Qualifier not in allowed list",IF(COUNTIF($M$5:$M$304,M197)&gt;1,"Duplicate name","OK")))))))))</f>
        <v/>
      </c>
      <c r="O197" s="10"/>
      <c r="P197" s="10"/>
      <c r="Q197" s="10"/>
    </row>
    <row r="198" spans="1:17" x14ac:dyDescent="0.25">
      <c r="A198" s="10"/>
      <c r="B198" s="10"/>
      <c r="C198" s="10"/>
      <c r="D198" s="15" t="str">
        <f>IF(C198="","",IFERROR(VLOOKUP(C198,Codes!$J$8:$O$117,2,FALSE),"Unknown type"))</f>
        <v/>
      </c>
      <c r="E198" s="10"/>
      <c r="F198" s="10"/>
      <c r="G198" s="10"/>
      <c r="H198" s="10"/>
      <c r="I198" s="10"/>
      <c r="J198" s="10"/>
      <c r="K198" s="16" t="str">
        <f>IF(C198="","",IFERROR(VLOOKUP(C198,Codes!$J$8:$O$117,6,FALSE),""))</f>
        <v/>
      </c>
      <c r="L198" s="10"/>
      <c r="M198" s="14" t="str">
        <f>IF(C198="","",LOWER(Codes!$B$4&amp;"-"&amp;G198&amp;IF(H198="","","-"&amp;H198)&amp;"-"&amp;C198&amp;"-"&amp;I198&amp;IF(J198="","","-"&amp;J198)&amp;"-"&amp;IF(L198="","01",TEXT(L198,"00"))))</f>
        <v/>
      </c>
      <c r="N198" s="15" t="str">
        <f>IF(C198="","",IF(ISNA(MATCH(C198,Codes!$J$8:$J$117,0)),"Unknown type code",IF(OR(G198="",I198=""),"Env and app required",IF(AND(VLOOKUP(C198,Codes!$J$8:$O$117,4,FALSE)="Global",H198&lt;&gt;""),"Global type: leave region blank",IF(AND(VLOOKUP(C198,Codes!$J$8:$O$117,4,FALSE)&lt;&gt;"Global",H198=""),"Region required",IF(AND(VLOOKUP(C198,Codes!$J$8:$O$117,5,FALSE)="Required",J198=""),"Qualifier required",IF(AND(VLOOKUP(C198,Codes!$J$8:$O$117,5,FALSE)="None",J198&lt;&gt;""),"This type takes no qualifier",IF(AND(J198&lt;&gt;"",VLOOKUP(C198,Codes!$J$8:$O$117,6,FALSE)&lt;&gt;"-",ISERROR(SEARCH(", "&amp;J198&amp;",",", "&amp;VLOOKUP(C198,Codes!$J$8:$O$117,6,FALSE)&amp;","))),"Qualifier not in allowed list",IF(COUNTIF($M$5:$M$304,M198)&gt;1,"Duplicate name","OK")))))))))</f>
        <v/>
      </c>
      <c r="O198" s="10"/>
      <c r="P198" s="10"/>
      <c r="Q198" s="10"/>
    </row>
    <row r="199" spans="1:17" x14ac:dyDescent="0.25">
      <c r="A199" s="10"/>
      <c r="B199" s="10"/>
      <c r="C199" s="10"/>
      <c r="D199" s="15" t="str">
        <f>IF(C199="","",IFERROR(VLOOKUP(C199,Codes!$J$8:$O$117,2,FALSE),"Unknown type"))</f>
        <v/>
      </c>
      <c r="E199" s="10"/>
      <c r="F199" s="10"/>
      <c r="G199" s="10"/>
      <c r="H199" s="10"/>
      <c r="I199" s="10"/>
      <c r="J199" s="10"/>
      <c r="K199" s="16" t="str">
        <f>IF(C199="","",IFERROR(VLOOKUP(C199,Codes!$J$8:$O$117,6,FALSE),""))</f>
        <v/>
      </c>
      <c r="L199" s="10"/>
      <c r="M199" s="14" t="str">
        <f>IF(C199="","",LOWER(Codes!$B$4&amp;"-"&amp;G199&amp;IF(H199="","","-"&amp;H199)&amp;"-"&amp;C199&amp;"-"&amp;I199&amp;IF(J199="","","-"&amp;J199)&amp;"-"&amp;IF(L199="","01",TEXT(L199,"00"))))</f>
        <v/>
      </c>
      <c r="N199" s="15" t="str">
        <f>IF(C199="","",IF(ISNA(MATCH(C199,Codes!$J$8:$J$117,0)),"Unknown type code",IF(OR(G199="",I199=""),"Env and app required",IF(AND(VLOOKUP(C199,Codes!$J$8:$O$117,4,FALSE)="Global",H199&lt;&gt;""),"Global type: leave region blank",IF(AND(VLOOKUP(C199,Codes!$J$8:$O$117,4,FALSE)&lt;&gt;"Global",H199=""),"Region required",IF(AND(VLOOKUP(C199,Codes!$J$8:$O$117,5,FALSE)="Required",J199=""),"Qualifier required",IF(AND(VLOOKUP(C199,Codes!$J$8:$O$117,5,FALSE)="None",J199&lt;&gt;""),"This type takes no qualifier",IF(AND(J199&lt;&gt;"",VLOOKUP(C199,Codes!$J$8:$O$117,6,FALSE)&lt;&gt;"-",ISERROR(SEARCH(", "&amp;J199&amp;",",", "&amp;VLOOKUP(C199,Codes!$J$8:$O$117,6,FALSE)&amp;","))),"Qualifier not in allowed list",IF(COUNTIF($M$5:$M$304,M199)&gt;1,"Duplicate name","OK")))))))))</f>
        <v/>
      </c>
      <c r="O199" s="10"/>
      <c r="P199" s="10"/>
      <c r="Q199" s="10"/>
    </row>
    <row r="200" spans="1:17" x14ac:dyDescent="0.25">
      <c r="A200" s="10"/>
      <c r="B200" s="10"/>
      <c r="C200" s="10"/>
      <c r="D200" s="15" t="str">
        <f>IF(C200="","",IFERROR(VLOOKUP(C200,Codes!$J$8:$O$117,2,FALSE),"Unknown type"))</f>
        <v/>
      </c>
      <c r="E200" s="10"/>
      <c r="F200" s="10"/>
      <c r="G200" s="10"/>
      <c r="H200" s="10"/>
      <c r="I200" s="10"/>
      <c r="J200" s="10"/>
      <c r="K200" s="16" t="str">
        <f>IF(C200="","",IFERROR(VLOOKUP(C200,Codes!$J$8:$O$117,6,FALSE),""))</f>
        <v/>
      </c>
      <c r="L200" s="10"/>
      <c r="M200" s="14" t="str">
        <f>IF(C200="","",LOWER(Codes!$B$4&amp;"-"&amp;G200&amp;IF(H200="","","-"&amp;H200)&amp;"-"&amp;C200&amp;"-"&amp;I200&amp;IF(J200="","","-"&amp;J200)&amp;"-"&amp;IF(L200="","01",TEXT(L200,"00"))))</f>
        <v/>
      </c>
      <c r="N200" s="15" t="str">
        <f>IF(C200="","",IF(ISNA(MATCH(C200,Codes!$J$8:$J$117,0)),"Unknown type code",IF(OR(G200="",I200=""),"Env and app required",IF(AND(VLOOKUP(C200,Codes!$J$8:$O$117,4,FALSE)="Global",H200&lt;&gt;""),"Global type: leave region blank",IF(AND(VLOOKUP(C200,Codes!$J$8:$O$117,4,FALSE)&lt;&gt;"Global",H200=""),"Region required",IF(AND(VLOOKUP(C200,Codes!$J$8:$O$117,5,FALSE)="Required",J200=""),"Qualifier required",IF(AND(VLOOKUP(C200,Codes!$J$8:$O$117,5,FALSE)="None",J200&lt;&gt;""),"This type takes no qualifier",IF(AND(J200&lt;&gt;"",VLOOKUP(C200,Codes!$J$8:$O$117,6,FALSE)&lt;&gt;"-",ISERROR(SEARCH(", "&amp;J200&amp;",",", "&amp;VLOOKUP(C200,Codes!$J$8:$O$117,6,FALSE)&amp;","))),"Qualifier not in allowed list",IF(COUNTIF($M$5:$M$304,M200)&gt;1,"Duplicate name","OK")))))))))</f>
        <v/>
      </c>
      <c r="O200" s="10"/>
      <c r="P200" s="10"/>
      <c r="Q200" s="10"/>
    </row>
    <row r="201" spans="1:17" x14ac:dyDescent="0.25">
      <c r="A201" s="10"/>
      <c r="B201" s="10"/>
      <c r="C201" s="10"/>
      <c r="D201" s="15" t="str">
        <f>IF(C201="","",IFERROR(VLOOKUP(C201,Codes!$J$8:$O$117,2,FALSE),"Unknown type"))</f>
        <v/>
      </c>
      <c r="E201" s="10"/>
      <c r="F201" s="10"/>
      <c r="G201" s="10"/>
      <c r="H201" s="10"/>
      <c r="I201" s="10"/>
      <c r="J201" s="10"/>
      <c r="K201" s="16" t="str">
        <f>IF(C201="","",IFERROR(VLOOKUP(C201,Codes!$J$8:$O$117,6,FALSE),""))</f>
        <v/>
      </c>
      <c r="L201" s="10"/>
      <c r="M201" s="14" t="str">
        <f>IF(C201="","",LOWER(Codes!$B$4&amp;"-"&amp;G201&amp;IF(H201="","","-"&amp;H201)&amp;"-"&amp;C201&amp;"-"&amp;I201&amp;IF(J201="","","-"&amp;J201)&amp;"-"&amp;IF(L201="","01",TEXT(L201,"00"))))</f>
        <v/>
      </c>
      <c r="N201" s="15" t="str">
        <f>IF(C201="","",IF(ISNA(MATCH(C201,Codes!$J$8:$J$117,0)),"Unknown type code",IF(OR(G201="",I201=""),"Env and app required",IF(AND(VLOOKUP(C201,Codes!$J$8:$O$117,4,FALSE)="Global",H201&lt;&gt;""),"Global type: leave region blank",IF(AND(VLOOKUP(C201,Codes!$J$8:$O$117,4,FALSE)&lt;&gt;"Global",H201=""),"Region required",IF(AND(VLOOKUP(C201,Codes!$J$8:$O$117,5,FALSE)="Required",J201=""),"Qualifier required",IF(AND(VLOOKUP(C201,Codes!$J$8:$O$117,5,FALSE)="None",J201&lt;&gt;""),"This type takes no qualifier",IF(AND(J201&lt;&gt;"",VLOOKUP(C201,Codes!$J$8:$O$117,6,FALSE)&lt;&gt;"-",ISERROR(SEARCH(", "&amp;J201&amp;",",", "&amp;VLOOKUP(C201,Codes!$J$8:$O$117,6,FALSE)&amp;","))),"Qualifier not in allowed list",IF(COUNTIF($M$5:$M$304,M201)&gt;1,"Duplicate name","OK")))))))))</f>
        <v/>
      </c>
      <c r="O201" s="10"/>
      <c r="P201" s="10"/>
      <c r="Q201" s="10"/>
    </row>
    <row r="202" spans="1:17" x14ac:dyDescent="0.25">
      <c r="A202" s="10"/>
      <c r="B202" s="10"/>
      <c r="C202" s="10"/>
      <c r="D202" s="15" t="str">
        <f>IF(C202="","",IFERROR(VLOOKUP(C202,Codes!$J$8:$O$117,2,FALSE),"Unknown type"))</f>
        <v/>
      </c>
      <c r="E202" s="10"/>
      <c r="F202" s="10"/>
      <c r="G202" s="10"/>
      <c r="H202" s="10"/>
      <c r="I202" s="10"/>
      <c r="J202" s="10"/>
      <c r="K202" s="16" t="str">
        <f>IF(C202="","",IFERROR(VLOOKUP(C202,Codes!$J$8:$O$117,6,FALSE),""))</f>
        <v/>
      </c>
      <c r="L202" s="10"/>
      <c r="M202" s="14" t="str">
        <f>IF(C202="","",LOWER(Codes!$B$4&amp;"-"&amp;G202&amp;IF(H202="","","-"&amp;H202)&amp;"-"&amp;C202&amp;"-"&amp;I202&amp;IF(J202="","","-"&amp;J202)&amp;"-"&amp;IF(L202="","01",TEXT(L202,"00"))))</f>
        <v/>
      </c>
      <c r="N202" s="15" t="str">
        <f>IF(C202="","",IF(ISNA(MATCH(C202,Codes!$J$8:$J$117,0)),"Unknown type code",IF(OR(G202="",I202=""),"Env and app required",IF(AND(VLOOKUP(C202,Codes!$J$8:$O$117,4,FALSE)="Global",H202&lt;&gt;""),"Global type: leave region blank",IF(AND(VLOOKUP(C202,Codes!$J$8:$O$117,4,FALSE)&lt;&gt;"Global",H202=""),"Region required",IF(AND(VLOOKUP(C202,Codes!$J$8:$O$117,5,FALSE)="Required",J202=""),"Qualifier required",IF(AND(VLOOKUP(C202,Codes!$J$8:$O$117,5,FALSE)="None",J202&lt;&gt;""),"This type takes no qualifier",IF(AND(J202&lt;&gt;"",VLOOKUP(C202,Codes!$J$8:$O$117,6,FALSE)&lt;&gt;"-",ISERROR(SEARCH(", "&amp;J202&amp;",",", "&amp;VLOOKUP(C202,Codes!$J$8:$O$117,6,FALSE)&amp;","))),"Qualifier not in allowed list",IF(COUNTIF($M$5:$M$304,M202)&gt;1,"Duplicate name","OK")))))))))</f>
        <v/>
      </c>
      <c r="O202" s="10"/>
      <c r="P202" s="10"/>
      <c r="Q202" s="10"/>
    </row>
    <row r="203" spans="1:17" x14ac:dyDescent="0.25">
      <c r="A203" s="10"/>
      <c r="B203" s="10"/>
      <c r="C203" s="10"/>
      <c r="D203" s="15" t="str">
        <f>IF(C203="","",IFERROR(VLOOKUP(C203,Codes!$J$8:$O$117,2,FALSE),"Unknown type"))</f>
        <v/>
      </c>
      <c r="E203" s="10"/>
      <c r="F203" s="10"/>
      <c r="G203" s="10"/>
      <c r="H203" s="10"/>
      <c r="I203" s="10"/>
      <c r="J203" s="10"/>
      <c r="K203" s="16" t="str">
        <f>IF(C203="","",IFERROR(VLOOKUP(C203,Codes!$J$8:$O$117,6,FALSE),""))</f>
        <v/>
      </c>
      <c r="L203" s="10"/>
      <c r="M203" s="14" t="str">
        <f>IF(C203="","",LOWER(Codes!$B$4&amp;"-"&amp;G203&amp;IF(H203="","","-"&amp;H203)&amp;"-"&amp;C203&amp;"-"&amp;I203&amp;IF(J203="","","-"&amp;J203)&amp;"-"&amp;IF(L203="","01",TEXT(L203,"00"))))</f>
        <v/>
      </c>
      <c r="N203" s="15" t="str">
        <f>IF(C203="","",IF(ISNA(MATCH(C203,Codes!$J$8:$J$117,0)),"Unknown type code",IF(OR(G203="",I203=""),"Env and app required",IF(AND(VLOOKUP(C203,Codes!$J$8:$O$117,4,FALSE)="Global",H203&lt;&gt;""),"Global type: leave region blank",IF(AND(VLOOKUP(C203,Codes!$J$8:$O$117,4,FALSE)&lt;&gt;"Global",H203=""),"Region required",IF(AND(VLOOKUP(C203,Codes!$J$8:$O$117,5,FALSE)="Required",J203=""),"Qualifier required",IF(AND(VLOOKUP(C203,Codes!$J$8:$O$117,5,FALSE)="None",J203&lt;&gt;""),"This type takes no qualifier",IF(AND(J203&lt;&gt;"",VLOOKUP(C203,Codes!$J$8:$O$117,6,FALSE)&lt;&gt;"-",ISERROR(SEARCH(", "&amp;J203&amp;",",", "&amp;VLOOKUP(C203,Codes!$J$8:$O$117,6,FALSE)&amp;","))),"Qualifier not in allowed list",IF(COUNTIF($M$5:$M$304,M203)&gt;1,"Duplicate name","OK")))))))))</f>
        <v/>
      </c>
      <c r="O203" s="10"/>
      <c r="P203" s="10"/>
      <c r="Q203" s="10"/>
    </row>
    <row r="204" spans="1:17" x14ac:dyDescent="0.25">
      <c r="A204" s="10"/>
      <c r="B204" s="10"/>
      <c r="C204" s="10"/>
      <c r="D204" s="15" t="str">
        <f>IF(C204="","",IFERROR(VLOOKUP(C204,Codes!$J$8:$O$117,2,FALSE),"Unknown type"))</f>
        <v/>
      </c>
      <c r="E204" s="10"/>
      <c r="F204" s="10"/>
      <c r="G204" s="10"/>
      <c r="H204" s="10"/>
      <c r="I204" s="10"/>
      <c r="J204" s="10"/>
      <c r="K204" s="16" t="str">
        <f>IF(C204="","",IFERROR(VLOOKUP(C204,Codes!$J$8:$O$117,6,FALSE),""))</f>
        <v/>
      </c>
      <c r="L204" s="10"/>
      <c r="M204" s="14" t="str">
        <f>IF(C204="","",LOWER(Codes!$B$4&amp;"-"&amp;G204&amp;IF(H204="","","-"&amp;H204)&amp;"-"&amp;C204&amp;"-"&amp;I204&amp;IF(J204="","","-"&amp;J204)&amp;"-"&amp;IF(L204="","01",TEXT(L204,"00"))))</f>
        <v/>
      </c>
      <c r="N204" s="15" t="str">
        <f>IF(C204="","",IF(ISNA(MATCH(C204,Codes!$J$8:$J$117,0)),"Unknown type code",IF(OR(G204="",I204=""),"Env and app required",IF(AND(VLOOKUP(C204,Codes!$J$8:$O$117,4,FALSE)="Global",H204&lt;&gt;""),"Global type: leave region blank",IF(AND(VLOOKUP(C204,Codes!$J$8:$O$117,4,FALSE)&lt;&gt;"Global",H204=""),"Region required",IF(AND(VLOOKUP(C204,Codes!$J$8:$O$117,5,FALSE)="Required",J204=""),"Qualifier required",IF(AND(VLOOKUP(C204,Codes!$J$8:$O$117,5,FALSE)="None",J204&lt;&gt;""),"This type takes no qualifier",IF(AND(J204&lt;&gt;"",VLOOKUP(C204,Codes!$J$8:$O$117,6,FALSE)&lt;&gt;"-",ISERROR(SEARCH(", "&amp;J204&amp;",",", "&amp;VLOOKUP(C204,Codes!$J$8:$O$117,6,FALSE)&amp;","))),"Qualifier not in allowed list",IF(COUNTIF($M$5:$M$304,M204)&gt;1,"Duplicate name","OK")))))))))</f>
        <v/>
      </c>
      <c r="O204" s="10"/>
      <c r="P204" s="10"/>
      <c r="Q204" s="10"/>
    </row>
    <row r="205" spans="1:17" x14ac:dyDescent="0.25">
      <c r="A205" s="10"/>
      <c r="B205" s="10"/>
      <c r="C205" s="10"/>
      <c r="D205" s="15" t="str">
        <f>IF(C205="","",IFERROR(VLOOKUP(C205,Codes!$J$8:$O$117,2,FALSE),"Unknown type"))</f>
        <v/>
      </c>
      <c r="E205" s="10"/>
      <c r="F205" s="10"/>
      <c r="G205" s="10"/>
      <c r="H205" s="10"/>
      <c r="I205" s="10"/>
      <c r="J205" s="10"/>
      <c r="K205" s="16" t="str">
        <f>IF(C205="","",IFERROR(VLOOKUP(C205,Codes!$J$8:$O$117,6,FALSE),""))</f>
        <v/>
      </c>
      <c r="L205" s="10"/>
      <c r="M205" s="14" t="str">
        <f>IF(C205="","",LOWER(Codes!$B$4&amp;"-"&amp;G205&amp;IF(H205="","","-"&amp;H205)&amp;"-"&amp;C205&amp;"-"&amp;I205&amp;IF(J205="","","-"&amp;J205)&amp;"-"&amp;IF(L205="","01",TEXT(L205,"00"))))</f>
        <v/>
      </c>
      <c r="N205" s="15" t="str">
        <f>IF(C205="","",IF(ISNA(MATCH(C205,Codes!$J$8:$J$117,0)),"Unknown type code",IF(OR(G205="",I205=""),"Env and app required",IF(AND(VLOOKUP(C205,Codes!$J$8:$O$117,4,FALSE)="Global",H205&lt;&gt;""),"Global type: leave region blank",IF(AND(VLOOKUP(C205,Codes!$J$8:$O$117,4,FALSE)&lt;&gt;"Global",H205=""),"Region required",IF(AND(VLOOKUP(C205,Codes!$J$8:$O$117,5,FALSE)="Required",J205=""),"Qualifier required",IF(AND(VLOOKUP(C205,Codes!$J$8:$O$117,5,FALSE)="None",J205&lt;&gt;""),"This type takes no qualifier",IF(AND(J205&lt;&gt;"",VLOOKUP(C205,Codes!$J$8:$O$117,6,FALSE)&lt;&gt;"-",ISERROR(SEARCH(", "&amp;J205&amp;",",", "&amp;VLOOKUP(C205,Codes!$J$8:$O$117,6,FALSE)&amp;","))),"Qualifier not in allowed list",IF(COUNTIF($M$5:$M$304,M205)&gt;1,"Duplicate name","OK")))))))))</f>
        <v/>
      </c>
      <c r="O205" s="10"/>
      <c r="P205" s="10"/>
      <c r="Q205" s="10"/>
    </row>
    <row r="206" spans="1:17" x14ac:dyDescent="0.25">
      <c r="A206" s="10"/>
      <c r="B206" s="10"/>
      <c r="C206" s="10"/>
      <c r="D206" s="15" t="str">
        <f>IF(C206="","",IFERROR(VLOOKUP(C206,Codes!$J$8:$O$117,2,FALSE),"Unknown type"))</f>
        <v/>
      </c>
      <c r="E206" s="10"/>
      <c r="F206" s="10"/>
      <c r="G206" s="10"/>
      <c r="H206" s="10"/>
      <c r="I206" s="10"/>
      <c r="J206" s="10"/>
      <c r="K206" s="16" t="str">
        <f>IF(C206="","",IFERROR(VLOOKUP(C206,Codes!$J$8:$O$117,6,FALSE),""))</f>
        <v/>
      </c>
      <c r="L206" s="10"/>
      <c r="M206" s="14" t="str">
        <f>IF(C206="","",LOWER(Codes!$B$4&amp;"-"&amp;G206&amp;IF(H206="","","-"&amp;H206)&amp;"-"&amp;C206&amp;"-"&amp;I206&amp;IF(J206="","","-"&amp;J206)&amp;"-"&amp;IF(L206="","01",TEXT(L206,"00"))))</f>
        <v/>
      </c>
      <c r="N206" s="15" t="str">
        <f>IF(C206="","",IF(ISNA(MATCH(C206,Codes!$J$8:$J$117,0)),"Unknown type code",IF(OR(G206="",I206=""),"Env and app required",IF(AND(VLOOKUP(C206,Codes!$J$8:$O$117,4,FALSE)="Global",H206&lt;&gt;""),"Global type: leave region blank",IF(AND(VLOOKUP(C206,Codes!$J$8:$O$117,4,FALSE)&lt;&gt;"Global",H206=""),"Region required",IF(AND(VLOOKUP(C206,Codes!$J$8:$O$117,5,FALSE)="Required",J206=""),"Qualifier required",IF(AND(VLOOKUP(C206,Codes!$J$8:$O$117,5,FALSE)="None",J206&lt;&gt;""),"This type takes no qualifier",IF(AND(J206&lt;&gt;"",VLOOKUP(C206,Codes!$J$8:$O$117,6,FALSE)&lt;&gt;"-",ISERROR(SEARCH(", "&amp;J206&amp;",",", "&amp;VLOOKUP(C206,Codes!$J$8:$O$117,6,FALSE)&amp;","))),"Qualifier not in allowed list",IF(COUNTIF($M$5:$M$304,M206)&gt;1,"Duplicate name","OK")))))))))</f>
        <v/>
      </c>
      <c r="O206" s="10"/>
      <c r="P206" s="10"/>
      <c r="Q206" s="10"/>
    </row>
    <row r="207" spans="1:17" x14ac:dyDescent="0.25">
      <c r="A207" s="10"/>
      <c r="B207" s="10"/>
      <c r="C207" s="10"/>
      <c r="D207" s="15" t="str">
        <f>IF(C207="","",IFERROR(VLOOKUP(C207,Codes!$J$8:$O$117,2,FALSE),"Unknown type"))</f>
        <v/>
      </c>
      <c r="E207" s="10"/>
      <c r="F207" s="10"/>
      <c r="G207" s="10"/>
      <c r="H207" s="10"/>
      <c r="I207" s="10"/>
      <c r="J207" s="10"/>
      <c r="K207" s="16" t="str">
        <f>IF(C207="","",IFERROR(VLOOKUP(C207,Codes!$J$8:$O$117,6,FALSE),""))</f>
        <v/>
      </c>
      <c r="L207" s="10"/>
      <c r="M207" s="14" t="str">
        <f>IF(C207="","",LOWER(Codes!$B$4&amp;"-"&amp;G207&amp;IF(H207="","","-"&amp;H207)&amp;"-"&amp;C207&amp;"-"&amp;I207&amp;IF(J207="","","-"&amp;J207)&amp;"-"&amp;IF(L207="","01",TEXT(L207,"00"))))</f>
        <v/>
      </c>
      <c r="N207" s="15" t="str">
        <f>IF(C207="","",IF(ISNA(MATCH(C207,Codes!$J$8:$J$117,0)),"Unknown type code",IF(OR(G207="",I207=""),"Env and app required",IF(AND(VLOOKUP(C207,Codes!$J$8:$O$117,4,FALSE)="Global",H207&lt;&gt;""),"Global type: leave region blank",IF(AND(VLOOKUP(C207,Codes!$J$8:$O$117,4,FALSE)&lt;&gt;"Global",H207=""),"Region required",IF(AND(VLOOKUP(C207,Codes!$J$8:$O$117,5,FALSE)="Required",J207=""),"Qualifier required",IF(AND(VLOOKUP(C207,Codes!$J$8:$O$117,5,FALSE)="None",J207&lt;&gt;""),"This type takes no qualifier",IF(AND(J207&lt;&gt;"",VLOOKUP(C207,Codes!$J$8:$O$117,6,FALSE)&lt;&gt;"-",ISERROR(SEARCH(", "&amp;J207&amp;",",", "&amp;VLOOKUP(C207,Codes!$J$8:$O$117,6,FALSE)&amp;","))),"Qualifier not in allowed list",IF(COUNTIF($M$5:$M$304,M207)&gt;1,"Duplicate name","OK")))))))))</f>
        <v/>
      </c>
      <c r="O207" s="10"/>
      <c r="P207" s="10"/>
      <c r="Q207" s="10"/>
    </row>
    <row r="208" spans="1:17" x14ac:dyDescent="0.25">
      <c r="A208" s="10"/>
      <c r="B208" s="10"/>
      <c r="C208" s="10"/>
      <c r="D208" s="15" t="str">
        <f>IF(C208="","",IFERROR(VLOOKUP(C208,Codes!$J$8:$O$117,2,FALSE),"Unknown type"))</f>
        <v/>
      </c>
      <c r="E208" s="10"/>
      <c r="F208" s="10"/>
      <c r="G208" s="10"/>
      <c r="H208" s="10"/>
      <c r="I208" s="10"/>
      <c r="J208" s="10"/>
      <c r="K208" s="16" t="str">
        <f>IF(C208="","",IFERROR(VLOOKUP(C208,Codes!$J$8:$O$117,6,FALSE),""))</f>
        <v/>
      </c>
      <c r="L208" s="10"/>
      <c r="M208" s="14" t="str">
        <f>IF(C208="","",LOWER(Codes!$B$4&amp;"-"&amp;G208&amp;IF(H208="","","-"&amp;H208)&amp;"-"&amp;C208&amp;"-"&amp;I208&amp;IF(J208="","","-"&amp;J208)&amp;"-"&amp;IF(L208="","01",TEXT(L208,"00"))))</f>
        <v/>
      </c>
      <c r="N208" s="15" t="str">
        <f>IF(C208="","",IF(ISNA(MATCH(C208,Codes!$J$8:$J$117,0)),"Unknown type code",IF(OR(G208="",I208=""),"Env and app required",IF(AND(VLOOKUP(C208,Codes!$J$8:$O$117,4,FALSE)="Global",H208&lt;&gt;""),"Global type: leave region blank",IF(AND(VLOOKUP(C208,Codes!$J$8:$O$117,4,FALSE)&lt;&gt;"Global",H208=""),"Region required",IF(AND(VLOOKUP(C208,Codes!$J$8:$O$117,5,FALSE)="Required",J208=""),"Qualifier required",IF(AND(VLOOKUP(C208,Codes!$J$8:$O$117,5,FALSE)="None",J208&lt;&gt;""),"This type takes no qualifier",IF(AND(J208&lt;&gt;"",VLOOKUP(C208,Codes!$J$8:$O$117,6,FALSE)&lt;&gt;"-",ISERROR(SEARCH(", "&amp;J208&amp;",",", "&amp;VLOOKUP(C208,Codes!$J$8:$O$117,6,FALSE)&amp;","))),"Qualifier not in allowed list",IF(COUNTIF($M$5:$M$304,M208)&gt;1,"Duplicate name","OK")))))))))</f>
        <v/>
      </c>
      <c r="O208" s="10"/>
      <c r="P208" s="10"/>
      <c r="Q208" s="10"/>
    </row>
    <row r="209" spans="1:17" x14ac:dyDescent="0.25">
      <c r="A209" s="10"/>
      <c r="B209" s="10"/>
      <c r="C209" s="10"/>
      <c r="D209" s="15" t="str">
        <f>IF(C209="","",IFERROR(VLOOKUP(C209,Codes!$J$8:$O$117,2,FALSE),"Unknown type"))</f>
        <v/>
      </c>
      <c r="E209" s="10"/>
      <c r="F209" s="10"/>
      <c r="G209" s="10"/>
      <c r="H209" s="10"/>
      <c r="I209" s="10"/>
      <c r="J209" s="10"/>
      <c r="K209" s="16" t="str">
        <f>IF(C209="","",IFERROR(VLOOKUP(C209,Codes!$J$8:$O$117,6,FALSE),""))</f>
        <v/>
      </c>
      <c r="L209" s="10"/>
      <c r="M209" s="14" t="str">
        <f>IF(C209="","",LOWER(Codes!$B$4&amp;"-"&amp;G209&amp;IF(H209="","","-"&amp;H209)&amp;"-"&amp;C209&amp;"-"&amp;I209&amp;IF(J209="","","-"&amp;J209)&amp;"-"&amp;IF(L209="","01",TEXT(L209,"00"))))</f>
        <v/>
      </c>
      <c r="N209" s="15" t="str">
        <f>IF(C209="","",IF(ISNA(MATCH(C209,Codes!$J$8:$J$117,0)),"Unknown type code",IF(OR(G209="",I209=""),"Env and app required",IF(AND(VLOOKUP(C209,Codes!$J$8:$O$117,4,FALSE)="Global",H209&lt;&gt;""),"Global type: leave region blank",IF(AND(VLOOKUP(C209,Codes!$J$8:$O$117,4,FALSE)&lt;&gt;"Global",H209=""),"Region required",IF(AND(VLOOKUP(C209,Codes!$J$8:$O$117,5,FALSE)="Required",J209=""),"Qualifier required",IF(AND(VLOOKUP(C209,Codes!$J$8:$O$117,5,FALSE)="None",J209&lt;&gt;""),"This type takes no qualifier",IF(AND(J209&lt;&gt;"",VLOOKUP(C209,Codes!$J$8:$O$117,6,FALSE)&lt;&gt;"-",ISERROR(SEARCH(", "&amp;J209&amp;",",", "&amp;VLOOKUP(C209,Codes!$J$8:$O$117,6,FALSE)&amp;","))),"Qualifier not in allowed list",IF(COUNTIF($M$5:$M$304,M209)&gt;1,"Duplicate name","OK")))))))))</f>
        <v/>
      </c>
      <c r="O209" s="10"/>
      <c r="P209" s="10"/>
      <c r="Q209" s="10"/>
    </row>
    <row r="210" spans="1:17" x14ac:dyDescent="0.25">
      <c r="A210" s="10"/>
      <c r="B210" s="10"/>
      <c r="C210" s="10"/>
      <c r="D210" s="15" t="str">
        <f>IF(C210="","",IFERROR(VLOOKUP(C210,Codes!$J$8:$O$117,2,FALSE),"Unknown type"))</f>
        <v/>
      </c>
      <c r="E210" s="10"/>
      <c r="F210" s="10"/>
      <c r="G210" s="10"/>
      <c r="H210" s="10"/>
      <c r="I210" s="10"/>
      <c r="J210" s="10"/>
      <c r="K210" s="16" t="str">
        <f>IF(C210="","",IFERROR(VLOOKUP(C210,Codes!$J$8:$O$117,6,FALSE),""))</f>
        <v/>
      </c>
      <c r="L210" s="10"/>
      <c r="M210" s="14" t="str">
        <f>IF(C210="","",LOWER(Codes!$B$4&amp;"-"&amp;G210&amp;IF(H210="","","-"&amp;H210)&amp;"-"&amp;C210&amp;"-"&amp;I210&amp;IF(J210="","","-"&amp;J210)&amp;"-"&amp;IF(L210="","01",TEXT(L210,"00"))))</f>
        <v/>
      </c>
      <c r="N210" s="15" t="str">
        <f>IF(C210="","",IF(ISNA(MATCH(C210,Codes!$J$8:$J$117,0)),"Unknown type code",IF(OR(G210="",I210=""),"Env and app required",IF(AND(VLOOKUP(C210,Codes!$J$8:$O$117,4,FALSE)="Global",H210&lt;&gt;""),"Global type: leave region blank",IF(AND(VLOOKUP(C210,Codes!$J$8:$O$117,4,FALSE)&lt;&gt;"Global",H210=""),"Region required",IF(AND(VLOOKUP(C210,Codes!$J$8:$O$117,5,FALSE)="Required",J210=""),"Qualifier required",IF(AND(VLOOKUP(C210,Codes!$J$8:$O$117,5,FALSE)="None",J210&lt;&gt;""),"This type takes no qualifier",IF(AND(J210&lt;&gt;"",VLOOKUP(C210,Codes!$J$8:$O$117,6,FALSE)&lt;&gt;"-",ISERROR(SEARCH(", "&amp;J210&amp;",",", "&amp;VLOOKUP(C210,Codes!$J$8:$O$117,6,FALSE)&amp;","))),"Qualifier not in allowed list",IF(COUNTIF($M$5:$M$304,M210)&gt;1,"Duplicate name","OK")))))))))</f>
        <v/>
      </c>
      <c r="O210" s="10"/>
      <c r="P210" s="10"/>
      <c r="Q210" s="10"/>
    </row>
    <row r="211" spans="1:17" x14ac:dyDescent="0.25">
      <c r="A211" s="10"/>
      <c r="B211" s="10"/>
      <c r="C211" s="10"/>
      <c r="D211" s="15" t="str">
        <f>IF(C211="","",IFERROR(VLOOKUP(C211,Codes!$J$8:$O$117,2,FALSE),"Unknown type"))</f>
        <v/>
      </c>
      <c r="E211" s="10"/>
      <c r="F211" s="10"/>
      <c r="G211" s="10"/>
      <c r="H211" s="10"/>
      <c r="I211" s="10"/>
      <c r="J211" s="10"/>
      <c r="K211" s="16" t="str">
        <f>IF(C211="","",IFERROR(VLOOKUP(C211,Codes!$J$8:$O$117,6,FALSE),""))</f>
        <v/>
      </c>
      <c r="L211" s="10"/>
      <c r="M211" s="14" t="str">
        <f>IF(C211="","",LOWER(Codes!$B$4&amp;"-"&amp;G211&amp;IF(H211="","","-"&amp;H211)&amp;"-"&amp;C211&amp;"-"&amp;I211&amp;IF(J211="","","-"&amp;J211)&amp;"-"&amp;IF(L211="","01",TEXT(L211,"00"))))</f>
        <v/>
      </c>
      <c r="N211" s="15" t="str">
        <f>IF(C211="","",IF(ISNA(MATCH(C211,Codes!$J$8:$J$117,0)),"Unknown type code",IF(OR(G211="",I211=""),"Env and app required",IF(AND(VLOOKUP(C211,Codes!$J$8:$O$117,4,FALSE)="Global",H211&lt;&gt;""),"Global type: leave region blank",IF(AND(VLOOKUP(C211,Codes!$J$8:$O$117,4,FALSE)&lt;&gt;"Global",H211=""),"Region required",IF(AND(VLOOKUP(C211,Codes!$J$8:$O$117,5,FALSE)="Required",J211=""),"Qualifier required",IF(AND(VLOOKUP(C211,Codes!$J$8:$O$117,5,FALSE)="None",J211&lt;&gt;""),"This type takes no qualifier",IF(AND(J211&lt;&gt;"",VLOOKUP(C211,Codes!$J$8:$O$117,6,FALSE)&lt;&gt;"-",ISERROR(SEARCH(", "&amp;J211&amp;",",", "&amp;VLOOKUP(C211,Codes!$J$8:$O$117,6,FALSE)&amp;","))),"Qualifier not in allowed list",IF(COUNTIF($M$5:$M$304,M211)&gt;1,"Duplicate name","OK")))))))))</f>
        <v/>
      </c>
      <c r="O211" s="10"/>
      <c r="P211" s="10"/>
      <c r="Q211" s="10"/>
    </row>
    <row r="212" spans="1:17" x14ac:dyDescent="0.25">
      <c r="A212" s="10"/>
      <c r="B212" s="10"/>
      <c r="C212" s="10"/>
      <c r="D212" s="15" t="str">
        <f>IF(C212="","",IFERROR(VLOOKUP(C212,Codes!$J$8:$O$117,2,FALSE),"Unknown type"))</f>
        <v/>
      </c>
      <c r="E212" s="10"/>
      <c r="F212" s="10"/>
      <c r="G212" s="10"/>
      <c r="H212" s="10"/>
      <c r="I212" s="10"/>
      <c r="J212" s="10"/>
      <c r="K212" s="16" t="str">
        <f>IF(C212="","",IFERROR(VLOOKUP(C212,Codes!$J$8:$O$117,6,FALSE),""))</f>
        <v/>
      </c>
      <c r="L212" s="10"/>
      <c r="M212" s="14" t="str">
        <f>IF(C212="","",LOWER(Codes!$B$4&amp;"-"&amp;G212&amp;IF(H212="","","-"&amp;H212)&amp;"-"&amp;C212&amp;"-"&amp;I212&amp;IF(J212="","","-"&amp;J212)&amp;"-"&amp;IF(L212="","01",TEXT(L212,"00"))))</f>
        <v/>
      </c>
      <c r="N212" s="15" t="str">
        <f>IF(C212="","",IF(ISNA(MATCH(C212,Codes!$J$8:$J$117,0)),"Unknown type code",IF(OR(G212="",I212=""),"Env and app required",IF(AND(VLOOKUP(C212,Codes!$J$8:$O$117,4,FALSE)="Global",H212&lt;&gt;""),"Global type: leave region blank",IF(AND(VLOOKUP(C212,Codes!$J$8:$O$117,4,FALSE)&lt;&gt;"Global",H212=""),"Region required",IF(AND(VLOOKUP(C212,Codes!$J$8:$O$117,5,FALSE)="Required",J212=""),"Qualifier required",IF(AND(VLOOKUP(C212,Codes!$J$8:$O$117,5,FALSE)="None",J212&lt;&gt;""),"This type takes no qualifier",IF(AND(J212&lt;&gt;"",VLOOKUP(C212,Codes!$J$8:$O$117,6,FALSE)&lt;&gt;"-",ISERROR(SEARCH(", "&amp;J212&amp;",",", "&amp;VLOOKUP(C212,Codes!$J$8:$O$117,6,FALSE)&amp;","))),"Qualifier not in allowed list",IF(COUNTIF($M$5:$M$304,M212)&gt;1,"Duplicate name","OK")))))))))</f>
        <v/>
      </c>
      <c r="O212" s="10"/>
      <c r="P212" s="10"/>
      <c r="Q212" s="10"/>
    </row>
    <row r="213" spans="1:17" x14ac:dyDescent="0.25">
      <c r="A213" s="10"/>
      <c r="B213" s="10"/>
      <c r="C213" s="10"/>
      <c r="D213" s="15" t="str">
        <f>IF(C213="","",IFERROR(VLOOKUP(C213,Codes!$J$8:$O$117,2,FALSE),"Unknown type"))</f>
        <v/>
      </c>
      <c r="E213" s="10"/>
      <c r="F213" s="10"/>
      <c r="G213" s="10"/>
      <c r="H213" s="10"/>
      <c r="I213" s="10"/>
      <c r="J213" s="10"/>
      <c r="K213" s="16" t="str">
        <f>IF(C213="","",IFERROR(VLOOKUP(C213,Codes!$J$8:$O$117,6,FALSE),""))</f>
        <v/>
      </c>
      <c r="L213" s="10"/>
      <c r="M213" s="14" t="str">
        <f>IF(C213="","",LOWER(Codes!$B$4&amp;"-"&amp;G213&amp;IF(H213="","","-"&amp;H213)&amp;"-"&amp;C213&amp;"-"&amp;I213&amp;IF(J213="","","-"&amp;J213)&amp;"-"&amp;IF(L213="","01",TEXT(L213,"00"))))</f>
        <v/>
      </c>
      <c r="N213" s="15" t="str">
        <f>IF(C213="","",IF(ISNA(MATCH(C213,Codes!$J$8:$J$117,0)),"Unknown type code",IF(OR(G213="",I213=""),"Env and app required",IF(AND(VLOOKUP(C213,Codes!$J$8:$O$117,4,FALSE)="Global",H213&lt;&gt;""),"Global type: leave region blank",IF(AND(VLOOKUP(C213,Codes!$J$8:$O$117,4,FALSE)&lt;&gt;"Global",H213=""),"Region required",IF(AND(VLOOKUP(C213,Codes!$J$8:$O$117,5,FALSE)="Required",J213=""),"Qualifier required",IF(AND(VLOOKUP(C213,Codes!$J$8:$O$117,5,FALSE)="None",J213&lt;&gt;""),"This type takes no qualifier",IF(AND(J213&lt;&gt;"",VLOOKUP(C213,Codes!$J$8:$O$117,6,FALSE)&lt;&gt;"-",ISERROR(SEARCH(", "&amp;J213&amp;",",", "&amp;VLOOKUP(C213,Codes!$J$8:$O$117,6,FALSE)&amp;","))),"Qualifier not in allowed list",IF(COUNTIF($M$5:$M$304,M213)&gt;1,"Duplicate name","OK")))))))))</f>
        <v/>
      </c>
      <c r="O213" s="10"/>
      <c r="P213" s="10"/>
      <c r="Q213" s="10"/>
    </row>
    <row r="214" spans="1:17" x14ac:dyDescent="0.25">
      <c r="A214" s="10"/>
      <c r="B214" s="10"/>
      <c r="C214" s="10"/>
      <c r="D214" s="15" t="str">
        <f>IF(C214="","",IFERROR(VLOOKUP(C214,Codes!$J$8:$O$117,2,FALSE),"Unknown type"))</f>
        <v/>
      </c>
      <c r="E214" s="10"/>
      <c r="F214" s="10"/>
      <c r="G214" s="10"/>
      <c r="H214" s="10"/>
      <c r="I214" s="10"/>
      <c r="J214" s="10"/>
      <c r="K214" s="16" t="str">
        <f>IF(C214="","",IFERROR(VLOOKUP(C214,Codes!$J$8:$O$117,6,FALSE),""))</f>
        <v/>
      </c>
      <c r="L214" s="10"/>
      <c r="M214" s="14" t="str">
        <f>IF(C214="","",LOWER(Codes!$B$4&amp;"-"&amp;G214&amp;IF(H214="","","-"&amp;H214)&amp;"-"&amp;C214&amp;"-"&amp;I214&amp;IF(J214="","","-"&amp;J214)&amp;"-"&amp;IF(L214="","01",TEXT(L214,"00"))))</f>
        <v/>
      </c>
      <c r="N214" s="15" t="str">
        <f>IF(C214="","",IF(ISNA(MATCH(C214,Codes!$J$8:$J$117,0)),"Unknown type code",IF(OR(G214="",I214=""),"Env and app required",IF(AND(VLOOKUP(C214,Codes!$J$8:$O$117,4,FALSE)="Global",H214&lt;&gt;""),"Global type: leave region blank",IF(AND(VLOOKUP(C214,Codes!$J$8:$O$117,4,FALSE)&lt;&gt;"Global",H214=""),"Region required",IF(AND(VLOOKUP(C214,Codes!$J$8:$O$117,5,FALSE)="Required",J214=""),"Qualifier required",IF(AND(VLOOKUP(C214,Codes!$J$8:$O$117,5,FALSE)="None",J214&lt;&gt;""),"This type takes no qualifier",IF(AND(J214&lt;&gt;"",VLOOKUP(C214,Codes!$J$8:$O$117,6,FALSE)&lt;&gt;"-",ISERROR(SEARCH(", "&amp;J214&amp;",",", "&amp;VLOOKUP(C214,Codes!$J$8:$O$117,6,FALSE)&amp;","))),"Qualifier not in allowed list",IF(COUNTIF($M$5:$M$304,M214)&gt;1,"Duplicate name","OK")))))))))</f>
        <v/>
      </c>
      <c r="O214" s="10"/>
      <c r="P214" s="10"/>
      <c r="Q214" s="10"/>
    </row>
    <row r="215" spans="1:17" x14ac:dyDescent="0.25">
      <c r="A215" s="10"/>
      <c r="B215" s="10"/>
      <c r="C215" s="10"/>
      <c r="D215" s="15" t="str">
        <f>IF(C215="","",IFERROR(VLOOKUP(C215,Codes!$J$8:$O$117,2,FALSE),"Unknown type"))</f>
        <v/>
      </c>
      <c r="E215" s="10"/>
      <c r="F215" s="10"/>
      <c r="G215" s="10"/>
      <c r="H215" s="10"/>
      <c r="I215" s="10"/>
      <c r="J215" s="10"/>
      <c r="K215" s="16" t="str">
        <f>IF(C215="","",IFERROR(VLOOKUP(C215,Codes!$J$8:$O$117,6,FALSE),""))</f>
        <v/>
      </c>
      <c r="L215" s="10"/>
      <c r="M215" s="14" t="str">
        <f>IF(C215="","",LOWER(Codes!$B$4&amp;"-"&amp;G215&amp;IF(H215="","","-"&amp;H215)&amp;"-"&amp;C215&amp;"-"&amp;I215&amp;IF(J215="","","-"&amp;J215)&amp;"-"&amp;IF(L215="","01",TEXT(L215,"00"))))</f>
        <v/>
      </c>
      <c r="N215" s="15" t="str">
        <f>IF(C215="","",IF(ISNA(MATCH(C215,Codes!$J$8:$J$117,0)),"Unknown type code",IF(OR(G215="",I215=""),"Env and app required",IF(AND(VLOOKUP(C215,Codes!$J$8:$O$117,4,FALSE)="Global",H215&lt;&gt;""),"Global type: leave region blank",IF(AND(VLOOKUP(C215,Codes!$J$8:$O$117,4,FALSE)&lt;&gt;"Global",H215=""),"Region required",IF(AND(VLOOKUP(C215,Codes!$J$8:$O$117,5,FALSE)="Required",J215=""),"Qualifier required",IF(AND(VLOOKUP(C215,Codes!$J$8:$O$117,5,FALSE)="None",J215&lt;&gt;""),"This type takes no qualifier",IF(AND(J215&lt;&gt;"",VLOOKUP(C215,Codes!$J$8:$O$117,6,FALSE)&lt;&gt;"-",ISERROR(SEARCH(", "&amp;J215&amp;",",", "&amp;VLOOKUP(C215,Codes!$J$8:$O$117,6,FALSE)&amp;","))),"Qualifier not in allowed list",IF(COUNTIF($M$5:$M$304,M215)&gt;1,"Duplicate name","OK")))))))))</f>
        <v/>
      </c>
      <c r="O215" s="10"/>
      <c r="P215" s="10"/>
      <c r="Q215" s="10"/>
    </row>
    <row r="216" spans="1:17" x14ac:dyDescent="0.25">
      <c r="A216" s="10"/>
      <c r="B216" s="10"/>
      <c r="C216" s="10"/>
      <c r="D216" s="15" t="str">
        <f>IF(C216="","",IFERROR(VLOOKUP(C216,Codes!$J$8:$O$117,2,FALSE),"Unknown type"))</f>
        <v/>
      </c>
      <c r="E216" s="10"/>
      <c r="F216" s="10"/>
      <c r="G216" s="10"/>
      <c r="H216" s="10"/>
      <c r="I216" s="10"/>
      <c r="J216" s="10"/>
      <c r="K216" s="16" t="str">
        <f>IF(C216="","",IFERROR(VLOOKUP(C216,Codes!$J$8:$O$117,6,FALSE),""))</f>
        <v/>
      </c>
      <c r="L216" s="10"/>
      <c r="M216" s="14" t="str">
        <f>IF(C216="","",LOWER(Codes!$B$4&amp;"-"&amp;G216&amp;IF(H216="","","-"&amp;H216)&amp;"-"&amp;C216&amp;"-"&amp;I216&amp;IF(J216="","","-"&amp;J216)&amp;"-"&amp;IF(L216="","01",TEXT(L216,"00"))))</f>
        <v/>
      </c>
      <c r="N216" s="15" t="str">
        <f>IF(C216="","",IF(ISNA(MATCH(C216,Codes!$J$8:$J$117,0)),"Unknown type code",IF(OR(G216="",I216=""),"Env and app required",IF(AND(VLOOKUP(C216,Codes!$J$8:$O$117,4,FALSE)="Global",H216&lt;&gt;""),"Global type: leave region blank",IF(AND(VLOOKUP(C216,Codes!$J$8:$O$117,4,FALSE)&lt;&gt;"Global",H216=""),"Region required",IF(AND(VLOOKUP(C216,Codes!$J$8:$O$117,5,FALSE)="Required",J216=""),"Qualifier required",IF(AND(VLOOKUP(C216,Codes!$J$8:$O$117,5,FALSE)="None",J216&lt;&gt;""),"This type takes no qualifier",IF(AND(J216&lt;&gt;"",VLOOKUP(C216,Codes!$J$8:$O$117,6,FALSE)&lt;&gt;"-",ISERROR(SEARCH(", "&amp;J216&amp;",",", "&amp;VLOOKUP(C216,Codes!$J$8:$O$117,6,FALSE)&amp;","))),"Qualifier not in allowed list",IF(COUNTIF($M$5:$M$304,M216)&gt;1,"Duplicate name","OK")))))))))</f>
        <v/>
      </c>
      <c r="O216" s="10"/>
      <c r="P216" s="10"/>
      <c r="Q216" s="10"/>
    </row>
    <row r="217" spans="1:17" x14ac:dyDescent="0.25">
      <c r="A217" s="10"/>
      <c r="B217" s="10"/>
      <c r="C217" s="10"/>
      <c r="D217" s="15" t="str">
        <f>IF(C217="","",IFERROR(VLOOKUP(C217,Codes!$J$8:$O$117,2,FALSE),"Unknown type"))</f>
        <v/>
      </c>
      <c r="E217" s="10"/>
      <c r="F217" s="10"/>
      <c r="G217" s="10"/>
      <c r="H217" s="10"/>
      <c r="I217" s="10"/>
      <c r="J217" s="10"/>
      <c r="K217" s="16" t="str">
        <f>IF(C217="","",IFERROR(VLOOKUP(C217,Codes!$J$8:$O$117,6,FALSE),""))</f>
        <v/>
      </c>
      <c r="L217" s="10"/>
      <c r="M217" s="14" t="str">
        <f>IF(C217="","",LOWER(Codes!$B$4&amp;"-"&amp;G217&amp;IF(H217="","","-"&amp;H217)&amp;"-"&amp;C217&amp;"-"&amp;I217&amp;IF(J217="","","-"&amp;J217)&amp;"-"&amp;IF(L217="","01",TEXT(L217,"00"))))</f>
        <v/>
      </c>
      <c r="N217" s="15" t="str">
        <f>IF(C217="","",IF(ISNA(MATCH(C217,Codes!$J$8:$J$117,0)),"Unknown type code",IF(OR(G217="",I217=""),"Env and app required",IF(AND(VLOOKUP(C217,Codes!$J$8:$O$117,4,FALSE)="Global",H217&lt;&gt;""),"Global type: leave region blank",IF(AND(VLOOKUP(C217,Codes!$J$8:$O$117,4,FALSE)&lt;&gt;"Global",H217=""),"Region required",IF(AND(VLOOKUP(C217,Codes!$J$8:$O$117,5,FALSE)="Required",J217=""),"Qualifier required",IF(AND(VLOOKUP(C217,Codes!$J$8:$O$117,5,FALSE)="None",J217&lt;&gt;""),"This type takes no qualifier",IF(AND(J217&lt;&gt;"",VLOOKUP(C217,Codes!$J$8:$O$117,6,FALSE)&lt;&gt;"-",ISERROR(SEARCH(", "&amp;J217&amp;",",", "&amp;VLOOKUP(C217,Codes!$J$8:$O$117,6,FALSE)&amp;","))),"Qualifier not in allowed list",IF(COUNTIF($M$5:$M$304,M217)&gt;1,"Duplicate name","OK")))))))))</f>
        <v/>
      </c>
      <c r="O217" s="10"/>
      <c r="P217" s="10"/>
      <c r="Q217" s="10"/>
    </row>
    <row r="218" spans="1:17" x14ac:dyDescent="0.25">
      <c r="A218" s="10"/>
      <c r="B218" s="10"/>
      <c r="C218" s="10"/>
      <c r="D218" s="15" t="str">
        <f>IF(C218="","",IFERROR(VLOOKUP(C218,Codes!$J$8:$O$117,2,FALSE),"Unknown type"))</f>
        <v/>
      </c>
      <c r="E218" s="10"/>
      <c r="F218" s="10"/>
      <c r="G218" s="10"/>
      <c r="H218" s="10"/>
      <c r="I218" s="10"/>
      <c r="J218" s="10"/>
      <c r="K218" s="16" t="str">
        <f>IF(C218="","",IFERROR(VLOOKUP(C218,Codes!$J$8:$O$117,6,FALSE),""))</f>
        <v/>
      </c>
      <c r="L218" s="10"/>
      <c r="M218" s="14" t="str">
        <f>IF(C218="","",LOWER(Codes!$B$4&amp;"-"&amp;G218&amp;IF(H218="","","-"&amp;H218)&amp;"-"&amp;C218&amp;"-"&amp;I218&amp;IF(J218="","","-"&amp;J218)&amp;"-"&amp;IF(L218="","01",TEXT(L218,"00"))))</f>
        <v/>
      </c>
      <c r="N218" s="15" t="str">
        <f>IF(C218="","",IF(ISNA(MATCH(C218,Codes!$J$8:$J$117,0)),"Unknown type code",IF(OR(G218="",I218=""),"Env and app required",IF(AND(VLOOKUP(C218,Codes!$J$8:$O$117,4,FALSE)="Global",H218&lt;&gt;""),"Global type: leave region blank",IF(AND(VLOOKUP(C218,Codes!$J$8:$O$117,4,FALSE)&lt;&gt;"Global",H218=""),"Region required",IF(AND(VLOOKUP(C218,Codes!$J$8:$O$117,5,FALSE)="Required",J218=""),"Qualifier required",IF(AND(VLOOKUP(C218,Codes!$J$8:$O$117,5,FALSE)="None",J218&lt;&gt;""),"This type takes no qualifier",IF(AND(J218&lt;&gt;"",VLOOKUP(C218,Codes!$J$8:$O$117,6,FALSE)&lt;&gt;"-",ISERROR(SEARCH(", "&amp;J218&amp;",",", "&amp;VLOOKUP(C218,Codes!$J$8:$O$117,6,FALSE)&amp;","))),"Qualifier not in allowed list",IF(COUNTIF($M$5:$M$304,M218)&gt;1,"Duplicate name","OK")))))))))</f>
        <v/>
      </c>
      <c r="O218" s="10"/>
      <c r="P218" s="10"/>
      <c r="Q218" s="10"/>
    </row>
    <row r="219" spans="1:17" x14ac:dyDescent="0.25">
      <c r="A219" s="10"/>
      <c r="B219" s="10"/>
      <c r="C219" s="10"/>
      <c r="D219" s="15" t="str">
        <f>IF(C219="","",IFERROR(VLOOKUP(C219,Codes!$J$8:$O$117,2,FALSE),"Unknown type"))</f>
        <v/>
      </c>
      <c r="E219" s="10"/>
      <c r="F219" s="10"/>
      <c r="G219" s="10"/>
      <c r="H219" s="10"/>
      <c r="I219" s="10"/>
      <c r="J219" s="10"/>
      <c r="K219" s="16" t="str">
        <f>IF(C219="","",IFERROR(VLOOKUP(C219,Codes!$J$8:$O$117,6,FALSE),""))</f>
        <v/>
      </c>
      <c r="L219" s="10"/>
      <c r="M219" s="14" t="str">
        <f>IF(C219="","",LOWER(Codes!$B$4&amp;"-"&amp;G219&amp;IF(H219="","","-"&amp;H219)&amp;"-"&amp;C219&amp;"-"&amp;I219&amp;IF(J219="","","-"&amp;J219)&amp;"-"&amp;IF(L219="","01",TEXT(L219,"00"))))</f>
        <v/>
      </c>
      <c r="N219" s="15" t="str">
        <f>IF(C219="","",IF(ISNA(MATCH(C219,Codes!$J$8:$J$117,0)),"Unknown type code",IF(OR(G219="",I219=""),"Env and app required",IF(AND(VLOOKUP(C219,Codes!$J$8:$O$117,4,FALSE)="Global",H219&lt;&gt;""),"Global type: leave region blank",IF(AND(VLOOKUP(C219,Codes!$J$8:$O$117,4,FALSE)&lt;&gt;"Global",H219=""),"Region required",IF(AND(VLOOKUP(C219,Codes!$J$8:$O$117,5,FALSE)="Required",J219=""),"Qualifier required",IF(AND(VLOOKUP(C219,Codes!$J$8:$O$117,5,FALSE)="None",J219&lt;&gt;""),"This type takes no qualifier",IF(AND(J219&lt;&gt;"",VLOOKUP(C219,Codes!$J$8:$O$117,6,FALSE)&lt;&gt;"-",ISERROR(SEARCH(", "&amp;J219&amp;",",", "&amp;VLOOKUP(C219,Codes!$J$8:$O$117,6,FALSE)&amp;","))),"Qualifier not in allowed list",IF(COUNTIF($M$5:$M$304,M219)&gt;1,"Duplicate name","OK")))))))))</f>
        <v/>
      </c>
      <c r="O219" s="10"/>
      <c r="P219" s="10"/>
      <c r="Q219" s="10"/>
    </row>
    <row r="220" spans="1:17" x14ac:dyDescent="0.25">
      <c r="A220" s="10"/>
      <c r="B220" s="10"/>
      <c r="C220" s="10"/>
      <c r="D220" s="15" t="str">
        <f>IF(C220="","",IFERROR(VLOOKUP(C220,Codes!$J$8:$O$117,2,FALSE),"Unknown type"))</f>
        <v/>
      </c>
      <c r="E220" s="10"/>
      <c r="F220" s="10"/>
      <c r="G220" s="10"/>
      <c r="H220" s="10"/>
      <c r="I220" s="10"/>
      <c r="J220" s="10"/>
      <c r="K220" s="16" t="str">
        <f>IF(C220="","",IFERROR(VLOOKUP(C220,Codes!$J$8:$O$117,6,FALSE),""))</f>
        <v/>
      </c>
      <c r="L220" s="10"/>
      <c r="M220" s="14" t="str">
        <f>IF(C220="","",LOWER(Codes!$B$4&amp;"-"&amp;G220&amp;IF(H220="","","-"&amp;H220)&amp;"-"&amp;C220&amp;"-"&amp;I220&amp;IF(J220="","","-"&amp;J220)&amp;"-"&amp;IF(L220="","01",TEXT(L220,"00"))))</f>
        <v/>
      </c>
      <c r="N220" s="15" t="str">
        <f>IF(C220="","",IF(ISNA(MATCH(C220,Codes!$J$8:$J$117,0)),"Unknown type code",IF(OR(G220="",I220=""),"Env and app required",IF(AND(VLOOKUP(C220,Codes!$J$8:$O$117,4,FALSE)="Global",H220&lt;&gt;""),"Global type: leave region blank",IF(AND(VLOOKUP(C220,Codes!$J$8:$O$117,4,FALSE)&lt;&gt;"Global",H220=""),"Region required",IF(AND(VLOOKUP(C220,Codes!$J$8:$O$117,5,FALSE)="Required",J220=""),"Qualifier required",IF(AND(VLOOKUP(C220,Codes!$J$8:$O$117,5,FALSE)="None",J220&lt;&gt;""),"This type takes no qualifier",IF(AND(J220&lt;&gt;"",VLOOKUP(C220,Codes!$J$8:$O$117,6,FALSE)&lt;&gt;"-",ISERROR(SEARCH(", "&amp;J220&amp;",",", "&amp;VLOOKUP(C220,Codes!$J$8:$O$117,6,FALSE)&amp;","))),"Qualifier not in allowed list",IF(COUNTIF($M$5:$M$304,M220)&gt;1,"Duplicate name","OK")))))))))</f>
        <v/>
      </c>
      <c r="O220" s="10"/>
      <c r="P220" s="10"/>
      <c r="Q220" s="10"/>
    </row>
    <row r="221" spans="1:17" x14ac:dyDescent="0.25">
      <c r="A221" s="10"/>
      <c r="B221" s="10"/>
      <c r="C221" s="10"/>
      <c r="D221" s="15" t="str">
        <f>IF(C221="","",IFERROR(VLOOKUP(C221,Codes!$J$8:$O$117,2,FALSE),"Unknown type"))</f>
        <v/>
      </c>
      <c r="E221" s="10"/>
      <c r="F221" s="10"/>
      <c r="G221" s="10"/>
      <c r="H221" s="10"/>
      <c r="I221" s="10"/>
      <c r="J221" s="10"/>
      <c r="K221" s="16" t="str">
        <f>IF(C221="","",IFERROR(VLOOKUP(C221,Codes!$J$8:$O$117,6,FALSE),""))</f>
        <v/>
      </c>
      <c r="L221" s="10"/>
      <c r="M221" s="14" t="str">
        <f>IF(C221="","",LOWER(Codes!$B$4&amp;"-"&amp;G221&amp;IF(H221="","","-"&amp;H221)&amp;"-"&amp;C221&amp;"-"&amp;I221&amp;IF(J221="","","-"&amp;J221)&amp;"-"&amp;IF(L221="","01",TEXT(L221,"00"))))</f>
        <v/>
      </c>
      <c r="N221" s="15" t="str">
        <f>IF(C221="","",IF(ISNA(MATCH(C221,Codes!$J$8:$J$117,0)),"Unknown type code",IF(OR(G221="",I221=""),"Env and app required",IF(AND(VLOOKUP(C221,Codes!$J$8:$O$117,4,FALSE)="Global",H221&lt;&gt;""),"Global type: leave region blank",IF(AND(VLOOKUP(C221,Codes!$J$8:$O$117,4,FALSE)&lt;&gt;"Global",H221=""),"Region required",IF(AND(VLOOKUP(C221,Codes!$J$8:$O$117,5,FALSE)="Required",J221=""),"Qualifier required",IF(AND(VLOOKUP(C221,Codes!$J$8:$O$117,5,FALSE)="None",J221&lt;&gt;""),"This type takes no qualifier",IF(AND(J221&lt;&gt;"",VLOOKUP(C221,Codes!$J$8:$O$117,6,FALSE)&lt;&gt;"-",ISERROR(SEARCH(", "&amp;J221&amp;",",", "&amp;VLOOKUP(C221,Codes!$J$8:$O$117,6,FALSE)&amp;","))),"Qualifier not in allowed list",IF(COUNTIF($M$5:$M$304,M221)&gt;1,"Duplicate name","OK")))))))))</f>
        <v/>
      </c>
      <c r="O221" s="10"/>
      <c r="P221" s="10"/>
      <c r="Q221" s="10"/>
    </row>
    <row r="222" spans="1:17" x14ac:dyDescent="0.25">
      <c r="A222" s="10"/>
      <c r="B222" s="10"/>
      <c r="C222" s="10"/>
      <c r="D222" s="15" t="str">
        <f>IF(C222="","",IFERROR(VLOOKUP(C222,Codes!$J$8:$O$117,2,FALSE),"Unknown type"))</f>
        <v/>
      </c>
      <c r="E222" s="10"/>
      <c r="F222" s="10"/>
      <c r="G222" s="10"/>
      <c r="H222" s="10"/>
      <c r="I222" s="10"/>
      <c r="J222" s="10"/>
      <c r="K222" s="16" t="str">
        <f>IF(C222="","",IFERROR(VLOOKUP(C222,Codes!$J$8:$O$117,6,FALSE),""))</f>
        <v/>
      </c>
      <c r="L222" s="10"/>
      <c r="M222" s="14" t="str">
        <f>IF(C222="","",LOWER(Codes!$B$4&amp;"-"&amp;G222&amp;IF(H222="","","-"&amp;H222)&amp;"-"&amp;C222&amp;"-"&amp;I222&amp;IF(J222="","","-"&amp;J222)&amp;"-"&amp;IF(L222="","01",TEXT(L222,"00"))))</f>
        <v/>
      </c>
      <c r="N222" s="15" t="str">
        <f>IF(C222="","",IF(ISNA(MATCH(C222,Codes!$J$8:$J$117,0)),"Unknown type code",IF(OR(G222="",I222=""),"Env and app required",IF(AND(VLOOKUP(C222,Codes!$J$8:$O$117,4,FALSE)="Global",H222&lt;&gt;""),"Global type: leave region blank",IF(AND(VLOOKUP(C222,Codes!$J$8:$O$117,4,FALSE)&lt;&gt;"Global",H222=""),"Region required",IF(AND(VLOOKUP(C222,Codes!$J$8:$O$117,5,FALSE)="Required",J222=""),"Qualifier required",IF(AND(VLOOKUP(C222,Codes!$J$8:$O$117,5,FALSE)="None",J222&lt;&gt;""),"This type takes no qualifier",IF(AND(J222&lt;&gt;"",VLOOKUP(C222,Codes!$J$8:$O$117,6,FALSE)&lt;&gt;"-",ISERROR(SEARCH(", "&amp;J222&amp;",",", "&amp;VLOOKUP(C222,Codes!$J$8:$O$117,6,FALSE)&amp;","))),"Qualifier not in allowed list",IF(COUNTIF($M$5:$M$304,M222)&gt;1,"Duplicate name","OK")))))))))</f>
        <v/>
      </c>
      <c r="O222" s="10"/>
      <c r="P222" s="10"/>
      <c r="Q222" s="10"/>
    </row>
    <row r="223" spans="1:17" x14ac:dyDescent="0.25">
      <c r="A223" s="10"/>
      <c r="B223" s="10"/>
      <c r="C223" s="10"/>
      <c r="D223" s="15" t="str">
        <f>IF(C223="","",IFERROR(VLOOKUP(C223,Codes!$J$8:$O$117,2,FALSE),"Unknown type"))</f>
        <v/>
      </c>
      <c r="E223" s="10"/>
      <c r="F223" s="10"/>
      <c r="G223" s="10"/>
      <c r="H223" s="10"/>
      <c r="I223" s="10"/>
      <c r="J223" s="10"/>
      <c r="K223" s="16" t="str">
        <f>IF(C223="","",IFERROR(VLOOKUP(C223,Codes!$J$8:$O$117,6,FALSE),""))</f>
        <v/>
      </c>
      <c r="L223" s="10"/>
      <c r="M223" s="14" t="str">
        <f>IF(C223="","",LOWER(Codes!$B$4&amp;"-"&amp;G223&amp;IF(H223="","","-"&amp;H223)&amp;"-"&amp;C223&amp;"-"&amp;I223&amp;IF(J223="","","-"&amp;J223)&amp;"-"&amp;IF(L223="","01",TEXT(L223,"00"))))</f>
        <v/>
      </c>
      <c r="N223" s="15" t="str">
        <f>IF(C223="","",IF(ISNA(MATCH(C223,Codes!$J$8:$J$117,0)),"Unknown type code",IF(OR(G223="",I223=""),"Env and app required",IF(AND(VLOOKUP(C223,Codes!$J$8:$O$117,4,FALSE)="Global",H223&lt;&gt;""),"Global type: leave region blank",IF(AND(VLOOKUP(C223,Codes!$J$8:$O$117,4,FALSE)&lt;&gt;"Global",H223=""),"Region required",IF(AND(VLOOKUP(C223,Codes!$J$8:$O$117,5,FALSE)="Required",J223=""),"Qualifier required",IF(AND(VLOOKUP(C223,Codes!$J$8:$O$117,5,FALSE)="None",J223&lt;&gt;""),"This type takes no qualifier",IF(AND(J223&lt;&gt;"",VLOOKUP(C223,Codes!$J$8:$O$117,6,FALSE)&lt;&gt;"-",ISERROR(SEARCH(", "&amp;J223&amp;",",", "&amp;VLOOKUP(C223,Codes!$J$8:$O$117,6,FALSE)&amp;","))),"Qualifier not in allowed list",IF(COUNTIF($M$5:$M$304,M223)&gt;1,"Duplicate name","OK")))))))))</f>
        <v/>
      </c>
      <c r="O223" s="10"/>
      <c r="P223" s="10"/>
      <c r="Q223" s="10"/>
    </row>
    <row r="224" spans="1:17" x14ac:dyDescent="0.25">
      <c r="A224" s="10"/>
      <c r="B224" s="10"/>
      <c r="C224" s="10"/>
      <c r="D224" s="15" t="str">
        <f>IF(C224="","",IFERROR(VLOOKUP(C224,Codes!$J$8:$O$117,2,FALSE),"Unknown type"))</f>
        <v/>
      </c>
      <c r="E224" s="10"/>
      <c r="F224" s="10"/>
      <c r="G224" s="10"/>
      <c r="H224" s="10"/>
      <c r="I224" s="10"/>
      <c r="J224" s="10"/>
      <c r="K224" s="16" t="str">
        <f>IF(C224="","",IFERROR(VLOOKUP(C224,Codes!$J$8:$O$117,6,FALSE),""))</f>
        <v/>
      </c>
      <c r="L224" s="10"/>
      <c r="M224" s="14" t="str">
        <f>IF(C224="","",LOWER(Codes!$B$4&amp;"-"&amp;G224&amp;IF(H224="","","-"&amp;H224)&amp;"-"&amp;C224&amp;"-"&amp;I224&amp;IF(J224="","","-"&amp;J224)&amp;"-"&amp;IF(L224="","01",TEXT(L224,"00"))))</f>
        <v/>
      </c>
      <c r="N224" s="15" t="str">
        <f>IF(C224="","",IF(ISNA(MATCH(C224,Codes!$J$8:$J$117,0)),"Unknown type code",IF(OR(G224="",I224=""),"Env and app required",IF(AND(VLOOKUP(C224,Codes!$J$8:$O$117,4,FALSE)="Global",H224&lt;&gt;""),"Global type: leave region blank",IF(AND(VLOOKUP(C224,Codes!$J$8:$O$117,4,FALSE)&lt;&gt;"Global",H224=""),"Region required",IF(AND(VLOOKUP(C224,Codes!$J$8:$O$117,5,FALSE)="Required",J224=""),"Qualifier required",IF(AND(VLOOKUP(C224,Codes!$J$8:$O$117,5,FALSE)="None",J224&lt;&gt;""),"This type takes no qualifier",IF(AND(J224&lt;&gt;"",VLOOKUP(C224,Codes!$J$8:$O$117,6,FALSE)&lt;&gt;"-",ISERROR(SEARCH(", "&amp;J224&amp;",",", "&amp;VLOOKUP(C224,Codes!$J$8:$O$117,6,FALSE)&amp;","))),"Qualifier not in allowed list",IF(COUNTIF($M$5:$M$304,M224)&gt;1,"Duplicate name","OK")))))))))</f>
        <v/>
      </c>
      <c r="O224" s="10"/>
      <c r="P224" s="10"/>
      <c r="Q224" s="10"/>
    </row>
    <row r="225" spans="1:17" x14ac:dyDescent="0.25">
      <c r="A225" s="10"/>
      <c r="B225" s="10"/>
      <c r="C225" s="10"/>
      <c r="D225" s="15" t="str">
        <f>IF(C225="","",IFERROR(VLOOKUP(C225,Codes!$J$8:$O$117,2,FALSE),"Unknown type"))</f>
        <v/>
      </c>
      <c r="E225" s="10"/>
      <c r="F225" s="10"/>
      <c r="G225" s="10"/>
      <c r="H225" s="10"/>
      <c r="I225" s="10"/>
      <c r="J225" s="10"/>
      <c r="K225" s="16" t="str">
        <f>IF(C225="","",IFERROR(VLOOKUP(C225,Codes!$J$8:$O$117,6,FALSE),""))</f>
        <v/>
      </c>
      <c r="L225" s="10"/>
      <c r="M225" s="14" t="str">
        <f>IF(C225="","",LOWER(Codes!$B$4&amp;"-"&amp;G225&amp;IF(H225="","","-"&amp;H225)&amp;"-"&amp;C225&amp;"-"&amp;I225&amp;IF(J225="","","-"&amp;J225)&amp;"-"&amp;IF(L225="","01",TEXT(L225,"00"))))</f>
        <v/>
      </c>
      <c r="N225" s="15" t="str">
        <f>IF(C225="","",IF(ISNA(MATCH(C225,Codes!$J$8:$J$117,0)),"Unknown type code",IF(OR(G225="",I225=""),"Env and app required",IF(AND(VLOOKUP(C225,Codes!$J$8:$O$117,4,FALSE)="Global",H225&lt;&gt;""),"Global type: leave region blank",IF(AND(VLOOKUP(C225,Codes!$J$8:$O$117,4,FALSE)&lt;&gt;"Global",H225=""),"Region required",IF(AND(VLOOKUP(C225,Codes!$J$8:$O$117,5,FALSE)="Required",J225=""),"Qualifier required",IF(AND(VLOOKUP(C225,Codes!$J$8:$O$117,5,FALSE)="None",J225&lt;&gt;""),"This type takes no qualifier",IF(AND(J225&lt;&gt;"",VLOOKUP(C225,Codes!$J$8:$O$117,6,FALSE)&lt;&gt;"-",ISERROR(SEARCH(", "&amp;J225&amp;",",", "&amp;VLOOKUP(C225,Codes!$J$8:$O$117,6,FALSE)&amp;","))),"Qualifier not in allowed list",IF(COUNTIF($M$5:$M$304,M225)&gt;1,"Duplicate name","OK")))))))))</f>
        <v/>
      </c>
      <c r="O225" s="10"/>
      <c r="P225" s="10"/>
      <c r="Q225" s="10"/>
    </row>
    <row r="226" spans="1:17" x14ac:dyDescent="0.25">
      <c r="A226" s="10"/>
      <c r="B226" s="10"/>
      <c r="C226" s="10"/>
      <c r="D226" s="15" t="str">
        <f>IF(C226="","",IFERROR(VLOOKUP(C226,Codes!$J$8:$O$117,2,FALSE),"Unknown type"))</f>
        <v/>
      </c>
      <c r="E226" s="10"/>
      <c r="F226" s="10"/>
      <c r="G226" s="10"/>
      <c r="H226" s="10"/>
      <c r="I226" s="10"/>
      <c r="J226" s="10"/>
      <c r="K226" s="16" t="str">
        <f>IF(C226="","",IFERROR(VLOOKUP(C226,Codes!$J$8:$O$117,6,FALSE),""))</f>
        <v/>
      </c>
      <c r="L226" s="10"/>
      <c r="M226" s="14" t="str">
        <f>IF(C226="","",LOWER(Codes!$B$4&amp;"-"&amp;G226&amp;IF(H226="","","-"&amp;H226)&amp;"-"&amp;C226&amp;"-"&amp;I226&amp;IF(J226="","","-"&amp;J226)&amp;"-"&amp;IF(L226="","01",TEXT(L226,"00"))))</f>
        <v/>
      </c>
      <c r="N226" s="15" t="str">
        <f>IF(C226="","",IF(ISNA(MATCH(C226,Codes!$J$8:$J$117,0)),"Unknown type code",IF(OR(G226="",I226=""),"Env and app required",IF(AND(VLOOKUP(C226,Codes!$J$8:$O$117,4,FALSE)="Global",H226&lt;&gt;""),"Global type: leave region blank",IF(AND(VLOOKUP(C226,Codes!$J$8:$O$117,4,FALSE)&lt;&gt;"Global",H226=""),"Region required",IF(AND(VLOOKUP(C226,Codes!$J$8:$O$117,5,FALSE)="Required",J226=""),"Qualifier required",IF(AND(VLOOKUP(C226,Codes!$J$8:$O$117,5,FALSE)="None",J226&lt;&gt;""),"This type takes no qualifier",IF(AND(J226&lt;&gt;"",VLOOKUP(C226,Codes!$J$8:$O$117,6,FALSE)&lt;&gt;"-",ISERROR(SEARCH(", "&amp;J226&amp;",",", "&amp;VLOOKUP(C226,Codes!$J$8:$O$117,6,FALSE)&amp;","))),"Qualifier not in allowed list",IF(COUNTIF($M$5:$M$304,M226)&gt;1,"Duplicate name","OK")))))))))</f>
        <v/>
      </c>
      <c r="O226" s="10"/>
      <c r="P226" s="10"/>
      <c r="Q226" s="10"/>
    </row>
    <row r="227" spans="1:17" x14ac:dyDescent="0.25">
      <c r="A227" s="10"/>
      <c r="B227" s="10"/>
      <c r="C227" s="10"/>
      <c r="D227" s="15" t="str">
        <f>IF(C227="","",IFERROR(VLOOKUP(C227,Codes!$J$8:$O$117,2,FALSE),"Unknown type"))</f>
        <v/>
      </c>
      <c r="E227" s="10"/>
      <c r="F227" s="10"/>
      <c r="G227" s="10"/>
      <c r="H227" s="10"/>
      <c r="I227" s="10"/>
      <c r="J227" s="10"/>
      <c r="K227" s="16" t="str">
        <f>IF(C227="","",IFERROR(VLOOKUP(C227,Codes!$J$8:$O$117,6,FALSE),""))</f>
        <v/>
      </c>
      <c r="L227" s="10"/>
      <c r="M227" s="14" t="str">
        <f>IF(C227="","",LOWER(Codes!$B$4&amp;"-"&amp;G227&amp;IF(H227="","","-"&amp;H227)&amp;"-"&amp;C227&amp;"-"&amp;I227&amp;IF(J227="","","-"&amp;J227)&amp;"-"&amp;IF(L227="","01",TEXT(L227,"00"))))</f>
        <v/>
      </c>
      <c r="N227" s="15" t="str">
        <f>IF(C227="","",IF(ISNA(MATCH(C227,Codes!$J$8:$J$117,0)),"Unknown type code",IF(OR(G227="",I227=""),"Env and app required",IF(AND(VLOOKUP(C227,Codes!$J$8:$O$117,4,FALSE)="Global",H227&lt;&gt;""),"Global type: leave region blank",IF(AND(VLOOKUP(C227,Codes!$J$8:$O$117,4,FALSE)&lt;&gt;"Global",H227=""),"Region required",IF(AND(VLOOKUP(C227,Codes!$J$8:$O$117,5,FALSE)="Required",J227=""),"Qualifier required",IF(AND(VLOOKUP(C227,Codes!$J$8:$O$117,5,FALSE)="None",J227&lt;&gt;""),"This type takes no qualifier",IF(AND(J227&lt;&gt;"",VLOOKUP(C227,Codes!$J$8:$O$117,6,FALSE)&lt;&gt;"-",ISERROR(SEARCH(", "&amp;J227&amp;",",", "&amp;VLOOKUP(C227,Codes!$J$8:$O$117,6,FALSE)&amp;","))),"Qualifier not in allowed list",IF(COUNTIF($M$5:$M$304,M227)&gt;1,"Duplicate name","OK")))))))))</f>
        <v/>
      </c>
      <c r="O227" s="10"/>
      <c r="P227" s="10"/>
      <c r="Q227" s="10"/>
    </row>
    <row r="228" spans="1:17" x14ac:dyDescent="0.25">
      <c r="A228" s="10"/>
      <c r="B228" s="10"/>
      <c r="C228" s="10"/>
      <c r="D228" s="15" t="str">
        <f>IF(C228="","",IFERROR(VLOOKUP(C228,Codes!$J$8:$O$117,2,FALSE),"Unknown type"))</f>
        <v/>
      </c>
      <c r="E228" s="10"/>
      <c r="F228" s="10"/>
      <c r="G228" s="10"/>
      <c r="H228" s="10"/>
      <c r="I228" s="10"/>
      <c r="J228" s="10"/>
      <c r="K228" s="16" t="str">
        <f>IF(C228="","",IFERROR(VLOOKUP(C228,Codes!$J$8:$O$117,6,FALSE),""))</f>
        <v/>
      </c>
      <c r="L228" s="10"/>
      <c r="M228" s="14" t="str">
        <f>IF(C228="","",LOWER(Codes!$B$4&amp;"-"&amp;G228&amp;IF(H228="","","-"&amp;H228)&amp;"-"&amp;C228&amp;"-"&amp;I228&amp;IF(J228="","","-"&amp;J228)&amp;"-"&amp;IF(L228="","01",TEXT(L228,"00"))))</f>
        <v/>
      </c>
      <c r="N228" s="15" t="str">
        <f>IF(C228="","",IF(ISNA(MATCH(C228,Codes!$J$8:$J$117,0)),"Unknown type code",IF(OR(G228="",I228=""),"Env and app required",IF(AND(VLOOKUP(C228,Codes!$J$8:$O$117,4,FALSE)="Global",H228&lt;&gt;""),"Global type: leave region blank",IF(AND(VLOOKUP(C228,Codes!$J$8:$O$117,4,FALSE)&lt;&gt;"Global",H228=""),"Region required",IF(AND(VLOOKUP(C228,Codes!$J$8:$O$117,5,FALSE)="Required",J228=""),"Qualifier required",IF(AND(VLOOKUP(C228,Codes!$J$8:$O$117,5,FALSE)="None",J228&lt;&gt;""),"This type takes no qualifier",IF(AND(J228&lt;&gt;"",VLOOKUP(C228,Codes!$J$8:$O$117,6,FALSE)&lt;&gt;"-",ISERROR(SEARCH(", "&amp;J228&amp;",",", "&amp;VLOOKUP(C228,Codes!$J$8:$O$117,6,FALSE)&amp;","))),"Qualifier not in allowed list",IF(COUNTIF($M$5:$M$304,M228)&gt;1,"Duplicate name","OK")))))))))</f>
        <v/>
      </c>
      <c r="O228" s="10"/>
      <c r="P228" s="10"/>
      <c r="Q228" s="10"/>
    </row>
    <row r="229" spans="1:17" x14ac:dyDescent="0.25">
      <c r="A229" s="10"/>
      <c r="B229" s="10"/>
      <c r="C229" s="10"/>
      <c r="D229" s="15" t="str">
        <f>IF(C229="","",IFERROR(VLOOKUP(C229,Codes!$J$8:$O$117,2,FALSE),"Unknown type"))</f>
        <v/>
      </c>
      <c r="E229" s="10"/>
      <c r="F229" s="10"/>
      <c r="G229" s="10"/>
      <c r="H229" s="10"/>
      <c r="I229" s="10"/>
      <c r="J229" s="10"/>
      <c r="K229" s="16" t="str">
        <f>IF(C229="","",IFERROR(VLOOKUP(C229,Codes!$J$8:$O$117,6,FALSE),""))</f>
        <v/>
      </c>
      <c r="L229" s="10"/>
      <c r="M229" s="14" t="str">
        <f>IF(C229="","",LOWER(Codes!$B$4&amp;"-"&amp;G229&amp;IF(H229="","","-"&amp;H229)&amp;"-"&amp;C229&amp;"-"&amp;I229&amp;IF(J229="","","-"&amp;J229)&amp;"-"&amp;IF(L229="","01",TEXT(L229,"00"))))</f>
        <v/>
      </c>
      <c r="N229" s="15" t="str">
        <f>IF(C229="","",IF(ISNA(MATCH(C229,Codes!$J$8:$J$117,0)),"Unknown type code",IF(OR(G229="",I229=""),"Env and app required",IF(AND(VLOOKUP(C229,Codes!$J$8:$O$117,4,FALSE)="Global",H229&lt;&gt;""),"Global type: leave region blank",IF(AND(VLOOKUP(C229,Codes!$J$8:$O$117,4,FALSE)&lt;&gt;"Global",H229=""),"Region required",IF(AND(VLOOKUP(C229,Codes!$J$8:$O$117,5,FALSE)="Required",J229=""),"Qualifier required",IF(AND(VLOOKUP(C229,Codes!$J$8:$O$117,5,FALSE)="None",J229&lt;&gt;""),"This type takes no qualifier",IF(AND(J229&lt;&gt;"",VLOOKUP(C229,Codes!$J$8:$O$117,6,FALSE)&lt;&gt;"-",ISERROR(SEARCH(", "&amp;J229&amp;",",", "&amp;VLOOKUP(C229,Codes!$J$8:$O$117,6,FALSE)&amp;","))),"Qualifier not in allowed list",IF(COUNTIF($M$5:$M$304,M229)&gt;1,"Duplicate name","OK")))))))))</f>
        <v/>
      </c>
      <c r="O229" s="10"/>
      <c r="P229" s="10"/>
      <c r="Q229" s="10"/>
    </row>
    <row r="230" spans="1:17" x14ac:dyDescent="0.25">
      <c r="A230" s="10"/>
      <c r="B230" s="10"/>
      <c r="C230" s="10"/>
      <c r="D230" s="15" t="str">
        <f>IF(C230="","",IFERROR(VLOOKUP(C230,Codes!$J$8:$O$117,2,FALSE),"Unknown type"))</f>
        <v/>
      </c>
      <c r="E230" s="10"/>
      <c r="F230" s="10"/>
      <c r="G230" s="10"/>
      <c r="H230" s="10"/>
      <c r="I230" s="10"/>
      <c r="J230" s="10"/>
      <c r="K230" s="16" t="str">
        <f>IF(C230="","",IFERROR(VLOOKUP(C230,Codes!$J$8:$O$117,6,FALSE),""))</f>
        <v/>
      </c>
      <c r="L230" s="10"/>
      <c r="M230" s="14" t="str">
        <f>IF(C230="","",LOWER(Codes!$B$4&amp;"-"&amp;G230&amp;IF(H230="","","-"&amp;H230)&amp;"-"&amp;C230&amp;"-"&amp;I230&amp;IF(J230="","","-"&amp;J230)&amp;"-"&amp;IF(L230="","01",TEXT(L230,"00"))))</f>
        <v/>
      </c>
      <c r="N230" s="15" t="str">
        <f>IF(C230="","",IF(ISNA(MATCH(C230,Codes!$J$8:$J$117,0)),"Unknown type code",IF(OR(G230="",I230=""),"Env and app required",IF(AND(VLOOKUP(C230,Codes!$J$8:$O$117,4,FALSE)="Global",H230&lt;&gt;""),"Global type: leave region blank",IF(AND(VLOOKUP(C230,Codes!$J$8:$O$117,4,FALSE)&lt;&gt;"Global",H230=""),"Region required",IF(AND(VLOOKUP(C230,Codes!$J$8:$O$117,5,FALSE)="Required",J230=""),"Qualifier required",IF(AND(VLOOKUP(C230,Codes!$J$8:$O$117,5,FALSE)="None",J230&lt;&gt;""),"This type takes no qualifier",IF(AND(J230&lt;&gt;"",VLOOKUP(C230,Codes!$J$8:$O$117,6,FALSE)&lt;&gt;"-",ISERROR(SEARCH(", "&amp;J230&amp;",",", "&amp;VLOOKUP(C230,Codes!$J$8:$O$117,6,FALSE)&amp;","))),"Qualifier not in allowed list",IF(COUNTIF($M$5:$M$304,M230)&gt;1,"Duplicate name","OK")))))))))</f>
        <v/>
      </c>
      <c r="O230" s="10"/>
      <c r="P230" s="10"/>
      <c r="Q230" s="10"/>
    </row>
    <row r="231" spans="1:17" x14ac:dyDescent="0.25">
      <c r="A231" s="10"/>
      <c r="B231" s="10"/>
      <c r="C231" s="10"/>
      <c r="D231" s="15" t="str">
        <f>IF(C231="","",IFERROR(VLOOKUP(C231,Codes!$J$8:$O$117,2,FALSE),"Unknown type"))</f>
        <v/>
      </c>
      <c r="E231" s="10"/>
      <c r="F231" s="10"/>
      <c r="G231" s="10"/>
      <c r="H231" s="10"/>
      <c r="I231" s="10"/>
      <c r="J231" s="10"/>
      <c r="K231" s="16" t="str">
        <f>IF(C231="","",IFERROR(VLOOKUP(C231,Codes!$J$8:$O$117,6,FALSE),""))</f>
        <v/>
      </c>
      <c r="L231" s="10"/>
      <c r="M231" s="14" t="str">
        <f>IF(C231="","",LOWER(Codes!$B$4&amp;"-"&amp;G231&amp;IF(H231="","","-"&amp;H231)&amp;"-"&amp;C231&amp;"-"&amp;I231&amp;IF(J231="","","-"&amp;J231)&amp;"-"&amp;IF(L231="","01",TEXT(L231,"00"))))</f>
        <v/>
      </c>
      <c r="N231" s="15" t="str">
        <f>IF(C231="","",IF(ISNA(MATCH(C231,Codes!$J$8:$J$117,0)),"Unknown type code",IF(OR(G231="",I231=""),"Env and app required",IF(AND(VLOOKUP(C231,Codes!$J$8:$O$117,4,FALSE)="Global",H231&lt;&gt;""),"Global type: leave region blank",IF(AND(VLOOKUP(C231,Codes!$J$8:$O$117,4,FALSE)&lt;&gt;"Global",H231=""),"Region required",IF(AND(VLOOKUP(C231,Codes!$J$8:$O$117,5,FALSE)="Required",J231=""),"Qualifier required",IF(AND(VLOOKUP(C231,Codes!$J$8:$O$117,5,FALSE)="None",J231&lt;&gt;""),"This type takes no qualifier",IF(AND(J231&lt;&gt;"",VLOOKUP(C231,Codes!$J$8:$O$117,6,FALSE)&lt;&gt;"-",ISERROR(SEARCH(", "&amp;J231&amp;",",", "&amp;VLOOKUP(C231,Codes!$J$8:$O$117,6,FALSE)&amp;","))),"Qualifier not in allowed list",IF(COUNTIF($M$5:$M$304,M231)&gt;1,"Duplicate name","OK")))))))))</f>
        <v/>
      </c>
      <c r="O231" s="10"/>
      <c r="P231" s="10"/>
      <c r="Q231" s="10"/>
    </row>
    <row r="232" spans="1:17" x14ac:dyDescent="0.25">
      <c r="A232" s="10"/>
      <c r="B232" s="10"/>
      <c r="C232" s="10"/>
      <c r="D232" s="15" t="str">
        <f>IF(C232="","",IFERROR(VLOOKUP(C232,Codes!$J$8:$O$117,2,FALSE),"Unknown type"))</f>
        <v/>
      </c>
      <c r="E232" s="10"/>
      <c r="F232" s="10"/>
      <c r="G232" s="10"/>
      <c r="H232" s="10"/>
      <c r="I232" s="10"/>
      <c r="J232" s="10"/>
      <c r="K232" s="16" t="str">
        <f>IF(C232="","",IFERROR(VLOOKUP(C232,Codes!$J$8:$O$117,6,FALSE),""))</f>
        <v/>
      </c>
      <c r="L232" s="10"/>
      <c r="M232" s="14" t="str">
        <f>IF(C232="","",LOWER(Codes!$B$4&amp;"-"&amp;G232&amp;IF(H232="","","-"&amp;H232)&amp;"-"&amp;C232&amp;"-"&amp;I232&amp;IF(J232="","","-"&amp;J232)&amp;"-"&amp;IF(L232="","01",TEXT(L232,"00"))))</f>
        <v/>
      </c>
      <c r="N232" s="15" t="str">
        <f>IF(C232="","",IF(ISNA(MATCH(C232,Codes!$J$8:$J$117,0)),"Unknown type code",IF(OR(G232="",I232=""),"Env and app required",IF(AND(VLOOKUP(C232,Codes!$J$8:$O$117,4,FALSE)="Global",H232&lt;&gt;""),"Global type: leave region blank",IF(AND(VLOOKUP(C232,Codes!$J$8:$O$117,4,FALSE)&lt;&gt;"Global",H232=""),"Region required",IF(AND(VLOOKUP(C232,Codes!$J$8:$O$117,5,FALSE)="Required",J232=""),"Qualifier required",IF(AND(VLOOKUP(C232,Codes!$J$8:$O$117,5,FALSE)="None",J232&lt;&gt;""),"This type takes no qualifier",IF(AND(J232&lt;&gt;"",VLOOKUP(C232,Codes!$J$8:$O$117,6,FALSE)&lt;&gt;"-",ISERROR(SEARCH(", "&amp;J232&amp;",",", "&amp;VLOOKUP(C232,Codes!$J$8:$O$117,6,FALSE)&amp;","))),"Qualifier not in allowed list",IF(COUNTIF($M$5:$M$304,M232)&gt;1,"Duplicate name","OK")))))))))</f>
        <v/>
      </c>
      <c r="O232" s="10"/>
      <c r="P232" s="10"/>
      <c r="Q232" s="10"/>
    </row>
    <row r="233" spans="1:17" x14ac:dyDescent="0.25">
      <c r="A233" s="10"/>
      <c r="B233" s="10"/>
      <c r="C233" s="10"/>
      <c r="D233" s="15" t="str">
        <f>IF(C233="","",IFERROR(VLOOKUP(C233,Codes!$J$8:$O$117,2,FALSE),"Unknown type"))</f>
        <v/>
      </c>
      <c r="E233" s="10"/>
      <c r="F233" s="10"/>
      <c r="G233" s="10"/>
      <c r="H233" s="10"/>
      <c r="I233" s="10"/>
      <c r="J233" s="10"/>
      <c r="K233" s="16" t="str">
        <f>IF(C233="","",IFERROR(VLOOKUP(C233,Codes!$J$8:$O$117,6,FALSE),""))</f>
        <v/>
      </c>
      <c r="L233" s="10"/>
      <c r="M233" s="14" t="str">
        <f>IF(C233="","",LOWER(Codes!$B$4&amp;"-"&amp;G233&amp;IF(H233="","","-"&amp;H233)&amp;"-"&amp;C233&amp;"-"&amp;I233&amp;IF(J233="","","-"&amp;J233)&amp;"-"&amp;IF(L233="","01",TEXT(L233,"00"))))</f>
        <v/>
      </c>
      <c r="N233" s="15" t="str">
        <f>IF(C233="","",IF(ISNA(MATCH(C233,Codes!$J$8:$J$117,0)),"Unknown type code",IF(OR(G233="",I233=""),"Env and app required",IF(AND(VLOOKUP(C233,Codes!$J$8:$O$117,4,FALSE)="Global",H233&lt;&gt;""),"Global type: leave region blank",IF(AND(VLOOKUP(C233,Codes!$J$8:$O$117,4,FALSE)&lt;&gt;"Global",H233=""),"Region required",IF(AND(VLOOKUP(C233,Codes!$J$8:$O$117,5,FALSE)="Required",J233=""),"Qualifier required",IF(AND(VLOOKUP(C233,Codes!$J$8:$O$117,5,FALSE)="None",J233&lt;&gt;""),"This type takes no qualifier",IF(AND(J233&lt;&gt;"",VLOOKUP(C233,Codes!$J$8:$O$117,6,FALSE)&lt;&gt;"-",ISERROR(SEARCH(", "&amp;J233&amp;",",", "&amp;VLOOKUP(C233,Codes!$J$8:$O$117,6,FALSE)&amp;","))),"Qualifier not in allowed list",IF(COUNTIF($M$5:$M$304,M233)&gt;1,"Duplicate name","OK")))))))))</f>
        <v/>
      </c>
      <c r="O233" s="10"/>
      <c r="P233" s="10"/>
      <c r="Q233" s="10"/>
    </row>
    <row r="234" spans="1:17" x14ac:dyDescent="0.25">
      <c r="A234" s="10"/>
      <c r="B234" s="10"/>
      <c r="C234" s="10"/>
      <c r="D234" s="15" t="str">
        <f>IF(C234="","",IFERROR(VLOOKUP(C234,Codes!$J$8:$O$117,2,FALSE),"Unknown type"))</f>
        <v/>
      </c>
      <c r="E234" s="10"/>
      <c r="F234" s="10"/>
      <c r="G234" s="10"/>
      <c r="H234" s="10"/>
      <c r="I234" s="10"/>
      <c r="J234" s="10"/>
      <c r="K234" s="16" t="str">
        <f>IF(C234="","",IFERROR(VLOOKUP(C234,Codes!$J$8:$O$117,6,FALSE),""))</f>
        <v/>
      </c>
      <c r="L234" s="10"/>
      <c r="M234" s="14" t="str">
        <f>IF(C234="","",LOWER(Codes!$B$4&amp;"-"&amp;G234&amp;IF(H234="","","-"&amp;H234)&amp;"-"&amp;C234&amp;"-"&amp;I234&amp;IF(J234="","","-"&amp;J234)&amp;"-"&amp;IF(L234="","01",TEXT(L234,"00"))))</f>
        <v/>
      </c>
      <c r="N234" s="15" t="str">
        <f>IF(C234="","",IF(ISNA(MATCH(C234,Codes!$J$8:$J$117,0)),"Unknown type code",IF(OR(G234="",I234=""),"Env and app required",IF(AND(VLOOKUP(C234,Codes!$J$8:$O$117,4,FALSE)="Global",H234&lt;&gt;""),"Global type: leave region blank",IF(AND(VLOOKUP(C234,Codes!$J$8:$O$117,4,FALSE)&lt;&gt;"Global",H234=""),"Region required",IF(AND(VLOOKUP(C234,Codes!$J$8:$O$117,5,FALSE)="Required",J234=""),"Qualifier required",IF(AND(VLOOKUP(C234,Codes!$J$8:$O$117,5,FALSE)="None",J234&lt;&gt;""),"This type takes no qualifier",IF(AND(J234&lt;&gt;"",VLOOKUP(C234,Codes!$J$8:$O$117,6,FALSE)&lt;&gt;"-",ISERROR(SEARCH(", "&amp;J234&amp;",",", "&amp;VLOOKUP(C234,Codes!$J$8:$O$117,6,FALSE)&amp;","))),"Qualifier not in allowed list",IF(COUNTIF($M$5:$M$304,M234)&gt;1,"Duplicate name","OK")))))))))</f>
        <v/>
      </c>
      <c r="O234" s="10"/>
      <c r="P234" s="10"/>
      <c r="Q234" s="10"/>
    </row>
    <row r="235" spans="1:17" x14ac:dyDescent="0.25">
      <c r="A235" s="10"/>
      <c r="B235" s="10"/>
      <c r="C235" s="10"/>
      <c r="D235" s="15" t="str">
        <f>IF(C235="","",IFERROR(VLOOKUP(C235,Codes!$J$8:$O$117,2,FALSE),"Unknown type"))</f>
        <v/>
      </c>
      <c r="E235" s="10"/>
      <c r="F235" s="10"/>
      <c r="G235" s="10"/>
      <c r="H235" s="10"/>
      <c r="I235" s="10"/>
      <c r="J235" s="10"/>
      <c r="K235" s="16" t="str">
        <f>IF(C235="","",IFERROR(VLOOKUP(C235,Codes!$J$8:$O$117,6,FALSE),""))</f>
        <v/>
      </c>
      <c r="L235" s="10"/>
      <c r="M235" s="14" t="str">
        <f>IF(C235="","",LOWER(Codes!$B$4&amp;"-"&amp;G235&amp;IF(H235="","","-"&amp;H235)&amp;"-"&amp;C235&amp;"-"&amp;I235&amp;IF(J235="","","-"&amp;J235)&amp;"-"&amp;IF(L235="","01",TEXT(L235,"00"))))</f>
        <v/>
      </c>
      <c r="N235" s="15" t="str">
        <f>IF(C235="","",IF(ISNA(MATCH(C235,Codes!$J$8:$J$117,0)),"Unknown type code",IF(OR(G235="",I235=""),"Env and app required",IF(AND(VLOOKUP(C235,Codes!$J$8:$O$117,4,FALSE)="Global",H235&lt;&gt;""),"Global type: leave region blank",IF(AND(VLOOKUP(C235,Codes!$J$8:$O$117,4,FALSE)&lt;&gt;"Global",H235=""),"Region required",IF(AND(VLOOKUP(C235,Codes!$J$8:$O$117,5,FALSE)="Required",J235=""),"Qualifier required",IF(AND(VLOOKUP(C235,Codes!$J$8:$O$117,5,FALSE)="None",J235&lt;&gt;""),"This type takes no qualifier",IF(AND(J235&lt;&gt;"",VLOOKUP(C235,Codes!$J$8:$O$117,6,FALSE)&lt;&gt;"-",ISERROR(SEARCH(", "&amp;J235&amp;",",", "&amp;VLOOKUP(C235,Codes!$J$8:$O$117,6,FALSE)&amp;","))),"Qualifier not in allowed list",IF(COUNTIF($M$5:$M$304,M235)&gt;1,"Duplicate name","OK")))))))))</f>
        <v/>
      </c>
      <c r="O235" s="10"/>
      <c r="P235" s="10"/>
      <c r="Q235" s="10"/>
    </row>
    <row r="236" spans="1:17" x14ac:dyDescent="0.25">
      <c r="A236" s="10"/>
      <c r="B236" s="10"/>
      <c r="C236" s="10"/>
      <c r="D236" s="15" t="str">
        <f>IF(C236="","",IFERROR(VLOOKUP(C236,Codes!$J$8:$O$117,2,FALSE),"Unknown type"))</f>
        <v/>
      </c>
      <c r="E236" s="10"/>
      <c r="F236" s="10"/>
      <c r="G236" s="10"/>
      <c r="H236" s="10"/>
      <c r="I236" s="10"/>
      <c r="J236" s="10"/>
      <c r="K236" s="16" t="str">
        <f>IF(C236="","",IFERROR(VLOOKUP(C236,Codes!$J$8:$O$117,6,FALSE),""))</f>
        <v/>
      </c>
      <c r="L236" s="10"/>
      <c r="M236" s="14" t="str">
        <f>IF(C236="","",LOWER(Codes!$B$4&amp;"-"&amp;G236&amp;IF(H236="","","-"&amp;H236)&amp;"-"&amp;C236&amp;"-"&amp;I236&amp;IF(J236="","","-"&amp;J236)&amp;"-"&amp;IF(L236="","01",TEXT(L236,"00"))))</f>
        <v/>
      </c>
      <c r="N236" s="15" t="str">
        <f>IF(C236="","",IF(ISNA(MATCH(C236,Codes!$J$8:$J$117,0)),"Unknown type code",IF(OR(G236="",I236=""),"Env and app required",IF(AND(VLOOKUP(C236,Codes!$J$8:$O$117,4,FALSE)="Global",H236&lt;&gt;""),"Global type: leave region blank",IF(AND(VLOOKUP(C236,Codes!$J$8:$O$117,4,FALSE)&lt;&gt;"Global",H236=""),"Region required",IF(AND(VLOOKUP(C236,Codes!$J$8:$O$117,5,FALSE)="Required",J236=""),"Qualifier required",IF(AND(VLOOKUP(C236,Codes!$J$8:$O$117,5,FALSE)="None",J236&lt;&gt;""),"This type takes no qualifier",IF(AND(J236&lt;&gt;"",VLOOKUP(C236,Codes!$J$8:$O$117,6,FALSE)&lt;&gt;"-",ISERROR(SEARCH(", "&amp;J236&amp;",",", "&amp;VLOOKUP(C236,Codes!$J$8:$O$117,6,FALSE)&amp;","))),"Qualifier not in allowed list",IF(COUNTIF($M$5:$M$304,M236)&gt;1,"Duplicate name","OK")))))))))</f>
        <v/>
      </c>
      <c r="O236" s="10"/>
      <c r="P236" s="10"/>
      <c r="Q236" s="10"/>
    </row>
    <row r="237" spans="1:17" x14ac:dyDescent="0.25">
      <c r="A237" s="10"/>
      <c r="B237" s="10"/>
      <c r="C237" s="10"/>
      <c r="D237" s="15" t="str">
        <f>IF(C237="","",IFERROR(VLOOKUP(C237,Codes!$J$8:$O$117,2,FALSE),"Unknown type"))</f>
        <v/>
      </c>
      <c r="E237" s="10"/>
      <c r="F237" s="10"/>
      <c r="G237" s="10"/>
      <c r="H237" s="10"/>
      <c r="I237" s="10"/>
      <c r="J237" s="10"/>
      <c r="K237" s="16" t="str">
        <f>IF(C237="","",IFERROR(VLOOKUP(C237,Codes!$J$8:$O$117,6,FALSE),""))</f>
        <v/>
      </c>
      <c r="L237" s="10"/>
      <c r="M237" s="14" t="str">
        <f>IF(C237="","",LOWER(Codes!$B$4&amp;"-"&amp;G237&amp;IF(H237="","","-"&amp;H237)&amp;"-"&amp;C237&amp;"-"&amp;I237&amp;IF(J237="","","-"&amp;J237)&amp;"-"&amp;IF(L237="","01",TEXT(L237,"00"))))</f>
        <v/>
      </c>
      <c r="N237" s="15" t="str">
        <f>IF(C237="","",IF(ISNA(MATCH(C237,Codes!$J$8:$J$117,0)),"Unknown type code",IF(OR(G237="",I237=""),"Env and app required",IF(AND(VLOOKUP(C237,Codes!$J$8:$O$117,4,FALSE)="Global",H237&lt;&gt;""),"Global type: leave region blank",IF(AND(VLOOKUP(C237,Codes!$J$8:$O$117,4,FALSE)&lt;&gt;"Global",H237=""),"Region required",IF(AND(VLOOKUP(C237,Codes!$J$8:$O$117,5,FALSE)="Required",J237=""),"Qualifier required",IF(AND(VLOOKUP(C237,Codes!$J$8:$O$117,5,FALSE)="None",J237&lt;&gt;""),"This type takes no qualifier",IF(AND(J237&lt;&gt;"",VLOOKUP(C237,Codes!$J$8:$O$117,6,FALSE)&lt;&gt;"-",ISERROR(SEARCH(", "&amp;J237&amp;",",", "&amp;VLOOKUP(C237,Codes!$J$8:$O$117,6,FALSE)&amp;","))),"Qualifier not in allowed list",IF(COUNTIF($M$5:$M$304,M237)&gt;1,"Duplicate name","OK")))))))))</f>
        <v/>
      </c>
      <c r="O237" s="10"/>
      <c r="P237" s="10"/>
      <c r="Q237" s="10"/>
    </row>
    <row r="238" spans="1:17" x14ac:dyDescent="0.25">
      <c r="A238" s="10"/>
      <c r="B238" s="10"/>
      <c r="C238" s="10"/>
      <c r="D238" s="15" t="str">
        <f>IF(C238="","",IFERROR(VLOOKUP(C238,Codes!$J$8:$O$117,2,FALSE),"Unknown type"))</f>
        <v/>
      </c>
      <c r="E238" s="10"/>
      <c r="F238" s="10"/>
      <c r="G238" s="10"/>
      <c r="H238" s="10"/>
      <c r="I238" s="10"/>
      <c r="J238" s="10"/>
      <c r="K238" s="16" t="str">
        <f>IF(C238="","",IFERROR(VLOOKUP(C238,Codes!$J$8:$O$117,6,FALSE),""))</f>
        <v/>
      </c>
      <c r="L238" s="10"/>
      <c r="M238" s="14" t="str">
        <f>IF(C238="","",LOWER(Codes!$B$4&amp;"-"&amp;G238&amp;IF(H238="","","-"&amp;H238)&amp;"-"&amp;C238&amp;"-"&amp;I238&amp;IF(J238="","","-"&amp;J238)&amp;"-"&amp;IF(L238="","01",TEXT(L238,"00"))))</f>
        <v/>
      </c>
      <c r="N238" s="15" t="str">
        <f>IF(C238="","",IF(ISNA(MATCH(C238,Codes!$J$8:$J$117,0)),"Unknown type code",IF(OR(G238="",I238=""),"Env and app required",IF(AND(VLOOKUP(C238,Codes!$J$8:$O$117,4,FALSE)="Global",H238&lt;&gt;""),"Global type: leave region blank",IF(AND(VLOOKUP(C238,Codes!$J$8:$O$117,4,FALSE)&lt;&gt;"Global",H238=""),"Region required",IF(AND(VLOOKUP(C238,Codes!$J$8:$O$117,5,FALSE)="Required",J238=""),"Qualifier required",IF(AND(VLOOKUP(C238,Codes!$J$8:$O$117,5,FALSE)="None",J238&lt;&gt;""),"This type takes no qualifier",IF(AND(J238&lt;&gt;"",VLOOKUP(C238,Codes!$J$8:$O$117,6,FALSE)&lt;&gt;"-",ISERROR(SEARCH(", "&amp;J238&amp;",",", "&amp;VLOOKUP(C238,Codes!$J$8:$O$117,6,FALSE)&amp;","))),"Qualifier not in allowed list",IF(COUNTIF($M$5:$M$304,M238)&gt;1,"Duplicate name","OK")))))))))</f>
        <v/>
      </c>
      <c r="O238" s="10"/>
      <c r="P238" s="10"/>
      <c r="Q238" s="10"/>
    </row>
    <row r="239" spans="1:17" x14ac:dyDescent="0.25">
      <c r="A239" s="10"/>
      <c r="B239" s="10"/>
      <c r="C239" s="10"/>
      <c r="D239" s="15" t="str">
        <f>IF(C239="","",IFERROR(VLOOKUP(C239,Codes!$J$8:$O$117,2,FALSE),"Unknown type"))</f>
        <v/>
      </c>
      <c r="E239" s="10"/>
      <c r="F239" s="10"/>
      <c r="G239" s="10"/>
      <c r="H239" s="10"/>
      <c r="I239" s="10"/>
      <c r="J239" s="10"/>
      <c r="K239" s="16" t="str">
        <f>IF(C239="","",IFERROR(VLOOKUP(C239,Codes!$J$8:$O$117,6,FALSE),""))</f>
        <v/>
      </c>
      <c r="L239" s="10"/>
      <c r="M239" s="14" t="str">
        <f>IF(C239="","",LOWER(Codes!$B$4&amp;"-"&amp;G239&amp;IF(H239="","","-"&amp;H239)&amp;"-"&amp;C239&amp;"-"&amp;I239&amp;IF(J239="","","-"&amp;J239)&amp;"-"&amp;IF(L239="","01",TEXT(L239,"00"))))</f>
        <v/>
      </c>
      <c r="N239" s="15" t="str">
        <f>IF(C239="","",IF(ISNA(MATCH(C239,Codes!$J$8:$J$117,0)),"Unknown type code",IF(OR(G239="",I239=""),"Env and app required",IF(AND(VLOOKUP(C239,Codes!$J$8:$O$117,4,FALSE)="Global",H239&lt;&gt;""),"Global type: leave region blank",IF(AND(VLOOKUP(C239,Codes!$J$8:$O$117,4,FALSE)&lt;&gt;"Global",H239=""),"Region required",IF(AND(VLOOKUP(C239,Codes!$J$8:$O$117,5,FALSE)="Required",J239=""),"Qualifier required",IF(AND(VLOOKUP(C239,Codes!$J$8:$O$117,5,FALSE)="None",J239&lt;&gt;""),"This type takes no qualifier",IF(AND(J239&lt;&gt;"",VLOOKUP(C239,Codes!$J$8:$O$117,6,FALSE)&lt;&gt;"-",ISERROR(SEARCH(", "&amp;J239&amp;",",", "&amp;VLOOKUP(C239,Codes!$J$8:$O$117,6,FALSE)&amp;","))),"Qualifier not in allowed list",IF(COUNTIF($M$5:$M$304,M239)&gt;1,"Duplicate name","OK")))))))))</f>
        <v/>
      </c>
      <c r="O239" s="10"/>
      <c r="P239" s="10"/>
      <c r="Q239" s="10"/>
    </row>
    <row r="240" spans="1:17" x14ac:dyDescent="0.25">
      <c r="A240" s="10"/>
      <c r="B240" s="10"/>
      <c r="C240" s="10"/>
      <c r="D240" s="15" t="str">
        <f>IF(C240="","",IFERROR(VLOOKUP(C240,Codes!$J$8:$O$117,2,FALSE),"Unknown type"))</f>
        <v/>
      </c>
      <c r="E240" s="10"/>
      <c r="F240" s="10"/>
      <c r="G240" s="10"/>
      <c r="H240" s="10"/>
      <c r="I240" s="10"/>
      <c r="J240" s="10"/>
      <c r="K240" s="16" t="str">
        <f>IF(C240="","",IFERROR(VLOOKUP(C240,Codes!$J$8:$O$117,6,FALSE),""))</f>
        <v/>
      </c>
      <c r="L240" s="10"/>
      <c r="M240" s="14" t="str">
        <f>IF(C240="","",LOWER(Codes!$B$4&amp;"-"&amp;G240&amp;IF(H240="","","-"&amp;H240)&amp;"-"&amp;C240&amp;"-"&amp;I240&amp;IF(J240="","","-"&amp;J240)&amp;"-"&amp;IF(L240="","01",TEXT(L240,"00"))))</f>
        <v/>
      </c>
      <c r="N240" s="15" t="str">
        <f>IF(C240="","",IF(ISNA(MATCH(C240,Codes!$J$8:$J$117,0)),"Unknown type code",IF(OR(G240="",I240=""),"Env and app required",IF(AND(VLOOKUP(C240,Codes!$J$8:$O$117,4,FALSE)="Global",H240&lt;&gt;""),"Global type: leave region blank",IF(AND(VLOOKUP(C240,Codes!$J$8:$O$117,4,FALSE)&lt;&gt;"Global",H240=""),"Region required",IF(AND(VLOOKUP(C240,Codes!$J$8:$O$117,5,FALSE)="Required",J240=""),"Qualifier required",IF(AND(VLOOKUP(C240,Codes!$J$8:$O$117,5,FALSE)="None",J240&lt;&gt;""),"This type takes no qualifier",IF(AND(J240&lt;&gt;"",VLOOKUP(C240,Codes!$J$8:$O$117,6,FALSE)&lt;&gt;"-",ISERROR(SEARCH(", "&amp;J240&amp;",",", "&amp;VLOOKUP(C240,Codes!$J$8:$O$117,6,FALSE)&amp;","))),"Qualifier not in allowed list",IF(COUNTIF($M$5:$M$304,M240)&gt;1,"Duplicate name","OK")))))))))</f>
        <v/>
      </c>
      <c r="O240" s="10"/>
      <c r="P240" s="10"/>
      <c r="Q240" s="10"/>
    </row>
    <row r="241" spans="1:17" x14ac:dyDescent="0.25">
      <c r="A241" s="10"/>
      <c r="B241" s="10"/>
      <c r="C241" s="10"/>
      <c r="D241" s="15" t="str">
        <f>IF(C241="","",IFERROR(VLOOKUP(C241,Codes!$J$8:$O$117,2,FALSE),"Unknown type"))</f>
        <v/>
      </c>
      <c r="E241" s="10"/>
      <c r="F241" s="10"/>
      <c r="G241" s="10"/>
      <c r="H241" s="10"/>
      <c r="I241" s="10"/>
      <c r="J241" s="10"/>
      <c r="K241" s="16" t="str">
        <f>IF(C241="","",IFERROR(VLOOKUP(C241,Codes!$J$8:$O$117,6,FALSE),""))</f>
        <v/>
      </c>
      <c r="L241" s="10"/>
      <c r="M241" s="14" t="str">
        <f>IF(C241="","",LOWER(Codes!$B$4&amp;"-"&amp;G241&amp;IF(H241="","","-"&amp;H241)&amp;"-"&amp;C241&amp;"-"&amp;I241&amp;IF(J241="","","-"&amp;J241)&amp;"-"&amp;IF(L241="","01",TEXT(L241,"00"))))</f>
        <v/>
      </c>
      <c r="N241" s="15" t="str">
        <f>IF(C241="","",IF(ISNA(MATCH(C241,Codes!$J$8:$J$117,0)),"Unknown type code",IF(OR(G241="",I241=""),"Env and app required",IF(AND(VLOOKUP(C241,Codes!$J$8:$O$117,4,FALSE)="Global",H241&lt;&gt;""),"Global type: leave region blank",IF(AND(VLOOKUP(C241,Codes!$J$8:$O$117,4,FALSE)&lt;&gt;"Global",H241=""),"Region required",IF(AND(VLOOKUP(C241,Codes!$J$8:$O$117,5,FALSE)="Required",J241=""),"Qualifier required",IF(AND(VLOOKUP(C241,Codes!$J$8:$O$117,5,FALSE)="None",J241&lt;&gt;""),"This type takes no qualifier",IF(AND(J241&lt;&gt;"",VLOOKUP(C241,Codes!$J$8:$O$117,6,FALSE)&lt;&gt;"-",ISERROR(SEARCH(", "&amp;J241&amp;",",", "&amp;VLOOKUP(C241,Codes!$J$8:$O$117,6,FALSE)&amp;","))),"Qualifier not in allowed list",IF(COUNTIF($M$5:$M$304,M241)&gt;1,"Duplicate name","OK")))))))))</f>
        <v/>
      </c>
      <c r="O241" s="10"/>
      <c r="P241" s="10"/>
      <c r="Q241" s="10"/>
    </row>
    <row r="242" spans="1:17" x14ac:dyDescent="0.25">
      <c r="A242" s="10"/>
      <c r="B242" s="10"/>
      <c r="C242" s="10"/>
      <c r="D242" s="15" t="str">
        <f>IF(C242="","",IFERROR(VLOOKUP(C242,Codes!$J$8:$O$117,2,FALSE),"Unknown type"))</f>
        <v/>
      </c>
      <c r="E242" s="10"/>
      <c r="F242" s="10"/>
      <c r="G242" s="10"/>
      <c r="H242" s="10"/>
      <c r="I242" s="10"/>
      <c r="J242" s="10"/>
      <c r="K242" s="16" t="str">
        <f>IF(C242="","",IFERROR(VLOOKUP(C242,Codes!$J$8:$O$117,6,FALSE),""))</f>
        <v/>
      </c>
      <c r="L242" s="10"/>
      <c r="M242" s="14" t="str">
        <f>IF(C242="","",LOWER(Codes!$B$4&amp;"-"&amp;G242&amp;IF(H242="","","-"&amp;H242)&amp;"-"&amp;C242&amp;"-"&amp;I242&amp;IF(J242="","","-"&amp;J242)&amp;"-"&amp;IF(L242="","01",TEXT(L242,"00"))))</f>
        <v/>
      </c>
      <c r="N242" s="15" t="str">
        <f>IF(C242="","",IF(ISNA(MATCH(C242,Codes!$J$8:$J$117,0)),"Unknown type code",IF(OR(G242="",I242=""),"Env and app required",IF(AND(VLOOKUP(C242,Codes!$J$8:$O$117,4,FALSE)="Global",H242&lt;&gt;""),"Global type: leave region blank",IF(AND(VLOOKUP(C242,Codes!$J$8:$O$117,4,FALSE)&lt;&gt;"Global",H242=""),"Region required",IF(AND(VLOOKUP(C242,Codes!$J$8:$O$117,5,FALSE)="Required",J242=""),"Qualifier required",IF(AND(VLOOKUP(C242,Codes!$J$8:$O$117,5,FALSE)="None",J242&lt;&gt;""),"This type takes no qualifier",IF(AND(J242&lt;&gt;"",VLOOKUP(C242,Codes!$J$8:$O$117,6,FALSE)&lt;&gt;"-",ISERROR(SEARCH(", "&amp;J242&amp;",",", "&amp;VLOOKUP(C242,Codes!$J$8:$O$117,6,FALSE)&amp;","))),"Qualifier not in allowed list",IF(COUNTIF($M$5:$M$304,M242)&gt;1,"Duplicate name","OK")))))))))</f>
        <v/>
      </c>
      <c r="O242" s="10"/>
      <c r="P242" s="10"/>
      <c r="Q242" s="10"/>
    </row>
    <row r="243" spans="1:17" x14ac:dyDescent="0.25">
      <c r="A243" s="10"/>
      <c r="B243" s="10"/>
      <c r="C243" s="10"/>
      <c r="D243" s="15" t="str">
        <f>IF(C243="","",IFERROR(VLOOKUP(C243,Codes!$J$8:$O$117,2,FALSE),"Unknown type"))</f>
        <v/>
      </c>
      <c r="E243" s="10"/>
      <c r="F243" s="10"/>
      <c r="G243" s="10"/>
      <c r="H243" s="10"/>
      <c r="I243" s="10"/>
      <c r="J243" s="10"/>
      <c r="K243" s="16" t="str">
        <f>IF(C243="","",IFERROR(VLOOKUP(C243,Codes!$J$8:$O$117,6,FALSE),""))</f>
        <v/>
      </c>
      <c r="L243" s="10"/>
      <c r="M243" s="14" t="str">
        <f>IF(C243="","",LOWER(Codes!$B$4&amp;"-"&amp;G243&amp;IF(H243="","","-"&amp;H243)&amp;"-"&amp;C243&amp;"-"&amp;I243&amp;IF(J243="","","-"&amp;J243)&amp;"-"&amp;IF(L243="","01",TEXT(L243,"00"))))</f>
        <v/>
      </c>
      <c r="N243" s="15" t="str">
        <f>IF(C243="","",IF(ISNA(MATCH(C243,Codes!$J$8:$J$117,0)),"Unknown type code",IF(OR(G243="",I243=""),"Env and app required",IF(AND(VLOOKUP(C243,Codes!$J$8:$O$117,4,FALSE)="Global",H243&lt;&gt;""),"Global type: leave region blank",IF(AND(VLOOKUP(C243,Codes!$J$8:$O$117,4,FALSE)&lt;&gt;"Global",H243=""),"Region required",IF(AND(VLOOKUP(C243,Codes!$J$8:$O$117,5,FALSE)="Required",J243=""),"Qualifier required",IF(AND(VLOOKUP(C243,Codes!$J$8:$O$117,5,FALSE)="None",J243&lt;&gt;""),"This type takes no qualifier",IF(AND(J243&lt;&gt;"",VLOOKUP(C243,Codes!$J$8:$O$117,6,FALSE)&lt;&gt;"-",ISERROR(SEARCH(", "&amp;J243&amp;",",", "&amp;VLOOKUP(C243,Codes!$J$8:$O$117,6,FALSE)&amp;","))),"Qualifier not in allowed list",IF(COUNTIF($M$5:$M$304,M243)&gt;1,"Duplicate name","OK")))))))))</f>
        <v/>
      </c>
      <c r="O243" s="10"/>
      <c r="P243" s="10"/>
      <c r="Q243" s="10"/>
    </row>
    <row r="244" spans="1:17" x14ac:dyDescent="0.25">
      <c r="A244" s="10"/>
      <c r="B244" s="10"/>
      <c r="C244" s="10"/>
      <c r="D244" s="15" t="str">
        <f>IF(C244="","",IFERROR(VLOOKUP(C244,Codes!$J$8:$O$117,2,FALSE),"Unknown type"))</f>
        <v/>
      </c>
      <c r="E244" s="10"/>
      <c r="F244" s="10"/>
      <c r="G244" s="10"/>
      <c r="H244" s="10"/>
      <c r="I244" s="10"/>
      <c r="J244" s="10"/>
      <c r="K244" s="16" t="str">
        <f>IF(C244="","",IFERROR(VLOOKUP(C244,Codes!$J$8:$O$117,6,FALSE),""))</f>
        <v/>
      </c>
      <c r="L244" s="10"/>
      <c r="M244" s="14" t="str">
        <f>IF(C244="","",LOWER(Codes!$B$4&amp;"-"&amp;G244&amp;IF(H244="","","-"&amp;H244)&amp;"-"&amp;C244&amp;"-"&amp;I244&amp;IF(J244="","","-"&amp;J244)&amp;"-"&amp;IF(L244="","01",TEXT(L244,"00"))))</f>
        <v/>
      </c>
      <c r="N244" s="15" t="str">
        <f>IF(C244="","",IF(ISNA(MATCH(C244,Codes!$J$8:$J$117,0)),"Unknown type code",IF(OR(G244="",I244=""),"Env and app required",IF(AND(VLOOKUP(C244,Codes!$J$8:$O$117,4,FALSE)="Global",H244&lt;&gt;""),"Global type: leave region blank",IF(AND(VLOOKUP(C244,Codes!$J$8:$O$117,4,FALSE)&lt;&gt;"Global",H244=""),"Region required",IF(AND(VLOOKUP(C244,Codes!$J$8:$O$117,5,FALSE)="Required",J244=""),"Qualifier required",IF(AND(VLOOKUP(C244,Codes!$J$8:$O$117,5,FALSE)="None",J244&lt;&gt;""),"This type takes no qualifier",IF(AND(J244&lt;&gt;"",VLOOKUP(C244,Codes!$J$8:$O$117,6,FALSE)&lt;&gt;"-",ISERROR(SEARCH(", "&amp;J244&amp;",",", "&amp;VLOOKUP(C244,Codes!$J$8:$O$117,6,FALSE)&amp;","))),"Qualifier not in allowed list",IF(COUNTIF($M$5:$M$304,M244)&gt;1,"Duplicate name","OK")))))))))</f>
        <v/>
      </c>
      <c r="O244" s="10"/>
      <c r="P244" s="10"/>
      <c r="Q244" s="10"/>
    </row>
    <row r="245" spans="1:17" x14ac:dyDescent="0.25">
      <c r="A245" s="10"/>
      <c r="B245" s="10"/>
      <c r="C245" s="10"/>
      <c r="D245" s="15" t="str">
        <f>IF(C245="","",IFERROR(VLOOKUP(C245,Codes!$J$8:$O$117,2,FALSE),"Unknown type"))</f>
        <v/>
      </c>
      <c r="E245" s="10"/>
      <c r="F245" s="10"/>
      <c r="G245" s="10"/>
      <c r="H245" s="10"/>
      <c r="I245" s="10"/>
      <c r="J245" s="10"/>
      <c r="K245" s="16" t="str">
        <f>IF(C245="","",IFERROR(VLOOKUP(C245,Codes!$J$8:$O$117,6,FALSE),""))</f>
        <v/>
      </c>
      <c r="L245" s="10"/>
      <c r="M245" s="14" t="str">
        <f>IF(C245="","",LOWER(Codes!$B$4&amp;"-"&amp;G245&amp;IF(H245="","","-"&amp;H245)&amp;"-"&amp;C245&amp;"-"&amp;I245&amp;IF(J245="","","-"&amp;J245)&amp;"-"&amp;IF(L245="","01",TEXT(L245,"00"))))</f>
        <v/>
      </c>
      <c r="N245" s="15" t="str">
        <f>IF(C245="","",IF(ISNA(MATCH(C245,Codes!$J$8:$J$117,0)),"Unknown type code",IF(OR(G245="",I245=""),"Env and app required",IF(AND(VLOOKUP(C245,Codes!$J$8:$O$117,4,FALSE)="Global",H245&lt;&gt;""),"Global type: leave region blank",IF(AND(VLOOKUP(C245,Codes!$J$8:$O$117,4,FALSE)&lt;&gt;"Global",H245=""),"Region required",IF(AND(VLOOKUP(C245,Codes!$J$8:$O$117,5,FALSE)="Required",J245=""),"Qualifier required",IF(AND(VLOOKUP(C245,Codes!$J$8:$O$117,5,FALSE)="None",J245&lt;&gt;""),"This type takes no qualifier",IF(AND(J245&lt;&gt;"",VLOOKUP(C245,Codes!$J$8:$O$117,6,FALSE)&lt;&gt;"-",ISERROR(SEARCH(", "&amp;J245&amp;",",", "&amp;VLOOKUP(C245,Codes!$J$8:$O$117,6,FALSE)&amp;","))),"Qualifier not in allowed list",IF(COUNTIF($M$5:$M$304,M245)&gt;1,"Duplicate name","OK")))))))))</f>
        <v/>
      </c>
      <c r="O245" s="10"/>
      <c r="P245" s="10"/>
      <c r="Q245" s="10"/>
    </row>
    <row r="246" spans="1:17" x14ac:dyDescent="0.25">
      <c r="A246" s="10"/>
      <c r="B246" s="10"/>
      <c r="C246" s="10"/>
      <c r="D246" s="15" t="str">
        <f>IF(C246="","",IFERROR(VLOOKUP(C246,Codes!$J$8:$O$117,2,FALSE),"Unknown type"))</f>
        <v/>
      </c>
      <c r="E246" s="10"/>
      <c r="F246" s="10"/>
      <c r="G246" s="10"/>
      <c r="H246" s="10"/>
      <c r="I246" s="10"/>
      <c r="J246" s="10"/>
      <c r="K246" s="16" t="str">
        <f>IF(C246="","",IFERROR(VLOOKUP(C246,Codes!$J$8:$O$117,6,FALSE),""))</f>
        <v/>
      </c>
      <c r="L246" s="10"/>
      <c r="M246" s="14" t="str">
        <f>IF(C246="","",LOWER(Codes!$B$4&amp;"-"&amp;G246&amp;IF(H246="","","-"&amp;H246)&amp;"-"&amp;C246&amp;"-"&amp;I246&amp;IF(J246="","","-"&amp;J246)&amp;"-"&amp;IF(L246="","01",TEXT(L246,"00"))))</f>
        <v/>
      </c>
      <c r="N246" s="15" t="str">
        <f>IF(C246="","",IF(ISNA(MATCH(C246,Codes!$J$8:$J$117,0)),"Unknown type code",IF(OR(G246="",I246=""),"Env and app required",IF(AND(VLOOKUP(C246,Codes!$J$8:$O$117,4,FALSE)="Global",H246&lt;&gt;""),"Global type: leave region blank",IF(AND(VLOOKUP(C246,Codes!$J$8:$O$117,4,FALSE)&lt;&gt;"Global",H246=""),"Region required",IF(AND(VLOOKUP(C246,Codes!$J$8:$O$117,5,FALSE)="Required",J246=""),"Qualifier required",IF(AND(VLOOKUP(C246,Codes!$J$8:$O$117,5,FALSE)="None",J246&lt;&gt;""),"This type takes no qualifier",IF(AND(J246&lt;&gt;"",VLOOKUP(C246,Codes!$J$8:$O$117,6,FALSE)&lt;&gt;"-",ISERROR(SEARCH(", "&amp;J246&amp;",",", "&amp;VLOOKUP(C246,Codes!$J$8:$O$117,6,FALSE)&amp;","))),"Qualifier not in allowed list",IF(COUNTIF($M$5:$M$304,M246)&gt;1,"Duplicate name","OK")))))))))</f>
        <v/>
      </c>
      <c r="O246" s="10"/>
      <c r="P246" s="10"/>
      <c r="Q246" s="10"/>
    </row>
    <row r="247" spans="1:17" x14ac:dyDescent="0.25">
      <c r="A247" s="10"/>
      <c r="B247" s="10"/>
      <c r="C247" s="10"/>
      <c r="D247" s="15" t="str">
        <f>IF(C247="","",IFERROR(VLOOKUP(C247,Codes!$J$8:$O$117,2,FALSE),"Unknown type"))</f>
        <v/>
      </c>
      <c r="E247" s="10"/>
      <c r="F247" s="10"/>
      <c r="G247" s="10"/>
      <c r="H247" s="10"/>
      <c r="I247" s="10"/>
      <c r="J247" s="10"/>
      <c r="K247" s="16" t="str">
        <f>IF(C247="","",IFERROR(VLOOKUP(C247,Codes!$J$8:$O$117,6,FALSE),""))</f>
        <v/>
      </c>
      <c r="L247" s="10"/>
      <c r="M247" s="14" t="str">
        <f>IF(C247="","",LOWER(Codes!$B$4&amp;"-"&amp;G247&amp;IF(H247="","","-"&amp;H247)&amp;"-"&amp;C247&amp;"-"&amp;I247&amp;IF(J247="","","-"&amp;J247)&amp;"-"&amp;IF(L247="","01",TEXT(L247,"00"))))</f>
        <v/>
      </c>
      <c r="N247" s="15" t="str">
        <f>IF(C247="","",IF(ISNA(MATCH(C247,Codes!$J$8:$J$117,0)),"Unknown type code",IF(OR(G247="",I247=""),"Env and app required",IF(AND(VLOOKUP(C247,Codes!$J$8:$O$117,4,FALSE)="Global",H247&lt;&gt;""),"Global type: leave region blank",IF(AND(VLOOKUP(C247,Codes!$J$8:$O$117,4,FALSE)&lt;&gt;"Global",H247=""),"Region required",IF(AND(VLOOKUP(C247,Codes!$J$8:$O$117,5,FALSE)="Required",J247=""),"Qualifier required",IF(AND(VLOOKUP(C247,Codes!$J$8:$O$117,5,FALSE)="None",J247&lt;&gt;""),"This type takes no qualifier",IF(AND(J247&lt;&gt;"",VLOOKUP(C247,Codes!$J$8:$O$117,6,FALSE)&lt;&gt;"-",ISERROR(SEARCH(", "&amp;J247&amp;",",", "&amp;VLOOKUP(C247,Codes!$J$8:$O$117,6,FALSE)&amp;","))),"Qualifier not in allowed list",IF(COUNTIF($M$5:$M$304,M247)&gt;1,"Duplicate name","OK")))))))))</f>
        <v/>
      </c>
      <c r="O247" s="10"/>
      <c r="P247" s="10"/>
      <c r="Q247" s="10"/>
    </row>
    <row r="248" spans="1:17" x14ac:dyDescent="0.25">
      <c r="A248" s="10"/>
      <c r="B248" s="10"/>
      <c r="C248" s="10"/>
      <c r="D248" s="15" t="str">
        <f>IF(C248="","",IFERROR(VLOOKUP(C248,Codes!$J$8:$O$117,2,FALSE),"Unknown type"))</f>
        <v/>
      </c>
      <c r="E248" s="10"/>
      <c r="F248" s="10"/>
      <c r="G248" s="10"/>
      <c r="H248" s="10"/>
      <c r="I248" s="10"/>
      <c r="J248" s="10"/>
      <c r="K248" s="16" t="str">
        <f>IF(C248="","",IFERROR(VLOOKUP(C248,Codes!$J$8:$O$117,6,FALSE),""))</f>
        <v/>
      </c>
      <c r="L248" s="10"/>
      <c r="M248" s="14" t="str">
        <f>IF(C248="","",LOWER(Codes!$B$4&amp;"-"&amp;G248&amp;IF(H248="","","-"&amp;H248)&amp;"-"&amp;C248&amp;"-"&amp;I248&amp;IF(J248="","","-"&amp;J248)&amp;"-"&amp;IF(L248="","01",TEXT(L248,"00"))))</f>
        <v/>
      </c>
      <c r="N248" s="15" t="str">
        <f>IF(C248="","",IF(ISNA(MATCH(C248,Codes!$J$8:$J$117,0)),"Unknown type code",IF(OR(G248="",I248=""),"Env and app required",IF(AND(VLOOKUP(C248,Codes!$J$8:$O$117,4,FALSE)="Global",H248&lt;&gt;""),"Global type: leave region blank",IF(AND(VLOOKUP(C248,Codes!$J$8:$O$117,4,FALSE)&lt;&gt;"Global",H248=""),"Region required",IF(AND(VLOOKUP(C248,Codes!$J$8:$O$117,5,FALSE)="Required",J248=""),"Qualifier required",IF(AND(VLOOKUP(C248,Codes!$J$8:$O$117,5,FALSE)="None",J248&lt;&gt;""),"This type takes no qualifier",IF(AND(J248&lt;&gt;"",VLOOKUP(C248,Codes!$J$8:$O$117,6,FALSE)&lt;&gt;"-",ISERROR(SEARCH(", "&amp;J248&amp;",",", "&amp;VLOOKUP(C248,Codes!$J$8:$O$117,6,FALSE)&amp;","))),"Qualifier not in allowed list",IF(COUNTIF($M$5:$M$304,M248)&gt;1,"Duplicate name","OK")))))))))</f>
        <v/>
      </c>
      <c r="O248" s="10"/>
      <c r="P248" s="10"/>
      <c r="Q248" s="10"/>
    </row>
    <row r="249" spans="1:17" x14ac:dyDescent="0.25">
      <c r="A249" s="10"/>
      <c r="B249" s="10"/>
      <c r="C249" s="10"/>
      <c r="D249" s="15" t="str">
        <f>IF(C249="","",IFERROR(VLOOKUP(C249,Codes!$J$8:$O$117,2,FALSE),"Unknown type"))</f>
        <v/>
      </c>
      <c r="E249" s="10"/>
      <c r="F249" s="10"/>
      <c r="G249" s="10"/>
      <c r="H249" s="10"/>
      <c r="I249" s="10"/>
      <c r="J249" s="10"/>
      <c r="K249" s="16" t="str">
        <f>IF(C249="","",IFERROR(VLOOKUP(C249,Codes!$J$8:$O$117,6,FALSE),""))</f>
        <v/>
      </c>
      <c r="L249" s="10"/>
      <c r="M249" s="14" t="str">
        <f>IF(C249="","",LOWER(Codes!$B$4&amp;"-"&amp;G249&amp;IF(H249="","","-"&amp;H249)&amp;"-"&amp;C249&amp;"-"&amp;I249&amp;IF(J249="","","-"&amp;J249)&amp;"-"&amp;IF(L249="","01",TEXT(L249,"00"))))</f>
        <v/>
      </c>
      <c r="N249" s="15" t="str">
        <f>IF(C249="","",IF(ISNA(MATCH(C249,Codes!$J$8:$J$117,0)),"Unknown type code",IF(OR(G249="",I249=""),"Env and app required",IF(AND(VLOOKUP(C249,Codes!$J$8:$O$117,4,FALSE)="Global",H249&lt;&gt;""),"Global type: leave region blank",IF(AND(VLOOKUP(C249,Codes!$J$8:$O$117,4,FALSE)&lt;&gt;"Global",H249=""),"Region required",IF(AND(VLOOKUP(C249,Codes!$J$8:$O$117,5,FALSE)="Required",J249=""),"Qualifier required",IF(AND(VLOOKUP(C249,Codes!$J$8:$O$117,5,FALSE)="None",J249&lt;&gt;""),"This type takes no qualifier",IF(AND(J249&lt;&gt;"",VLOOKUP(C249,Codes!$J$8:$O$117,6,FALSE)&lt;&gt;"-",ISERROR(SEARCH(", "&amp;J249&amp;",",", "&amp;VLOOKUP(C249,Codes!$J$8:$O$117,6,FALSE)&amp;","))),"Qualifier not in allowed list",IF(COUNTIF($M$5:$M$304,M249)&gt;1,"Duplicate name","OK")))))))))</f>
        <v/>
      </c>
      <c r="O249" s="10"/>
      <c r="P249" s="10"/>
      <c r="Q249" s="10"/>
    </row>
    <row r="250" spans="1:17" x14ac:dyDescent="0.25">
      <c r="A250" s="10"/>
      <c r="B250" s="10"/>
      <c r="C250" s="10"/>
      <c r="D250" s="15" t="str">
        <f>IF(C250="","",IFERROR(VLOOKUP(C250,Codes!$J$8:$O$117,2,FALSE),"Unknown type"))</f>
        <v/>
      </c>
      <c r="E250" s="10"/>
      <c r="F250" s="10"/>
      <c r="G250" s="10"/>
      <c r="H250" s="10"/>
      <c r="I250" s="10"/>
      <c r="J250" s="10"/>
      <c r="K250" s="16" t="str">
        <f>IF(C250="","",IFERROR(VLOOKUP(C250,Codes!$J$8:$O$117,6,FALSE),""))</f>
        <v/>
      </c>
      <c r="L250" s="10"/>
      <c r="M250" s="14" t="str">
        <f>IF(C250="","",LOWER(Codes!$B$4&amp;"-"&amp;G250&amp;IF(H250="","","-"&amp;H250)&amp;"-"&amp;C250&amp;"-"&amp;I250&amp;IF(J250="","","-"&amp;J250)&amp;"-"&amp;IF(L250="","01",TEXT(L250,"00"))))</f>
        <v/>
      </c>
      <c r="N250" s="15" t="str">
        <f>IF(C250="","",IF(ISNA(MATCH(C250,Codes!$J$8:$J$117,0)),"Unknown type code",IF(OR(G250="",I250=""),"Env and app required",IF(AND(VLOOKUP(C250,Codes!$J$8:$O$117,4,FALSE)="Global",H250&lt;&gt;""),"Global type: leave region blank",IF(AND(VLOOKUP(C250,Codes!$J$8:$O$117,4,FALSE)&lt;&gt;"Global",H250=""),"Region required",IF(AND(VLOOKUP(C250,Codes!$J$8:$O$117,5,FALSE)="Required",J250=""),"Qualifier required",IF(AND(VLOOKUP(C250,Codes!$J$8:$O$117,5,FALSE)="None",J250&lt;&gt;""),"This type takes no qualifier",IF(AND(J250&lt;&gt;"",VLOOKUP(C250,Codes!$J$8:$O$117,6,FALSE)&lt;&gt;"-",ISERROR(SEARCH(", "&amp;J250&amp;",",", "&amp;VLOOKUP(C250,Codes!$J$8:$O$117,6,FALSE)&amp;","))),"Qualifier not in allowed list",IF(COUNTIF($M$5:$M$304,M250)&gt;1,"Duplicate name","OK")))))))))</f>
        <v/>
      </c>
      <c r="O250" s="10"/>
      <c r="P250" s="10"/>
      <c r="Q250" s="10"/>
    </row>
    <row r="251" spans="1:17" x14ac:dyDescent="0.25">
      <c r="A251" s="10"/>
      <c r="B251" s="10"/>
      <c r="C251" s="10"/>
      <c r="D251" s="15" t="str">
        <f>IF(C251="","",IFERROR(VLOOKUP(C251,Codes!$J$8:$O$117,2,FALSE),"Unknown type"))</f>
        <v/>
      </c>
      <c r="E251" s="10"/>
      <c r="F251" s="10"/>
      <c r="G251" s="10"/>
      <c r="H251" s="10"/>
      <c r="I251" s="10"/>
      <c r="J251" s="10"/>
      <c r="K251" s="16" t="str">
        <f>IF(C251="","",IFERROR(VLOOKUP(C251,Codes!$J$8:$O$117,6,FALSE),""))</f>
        <v/>
      </c>
      <c r="L251" s="10"/>
      <c r="M251" s="14" t="str">
        <f>IF(C251="","",LOWER(Codes!$B$4&amp;"-"&amp;G251&amp;IF(H251="","","-"&amp;H251)&amp;"-"&amp;C251&amp;"-"&amp;I251&amp;IF(J251="","","-"&amp;J251)&amp;"-"&amp;IF(L251="","01",TEXT(L251,"00"))))</f>
        <v/>
      </c>
      <c r="N251" s="15" t="str">
        <f>IF(C251="","",IF(ISNA(MATCH(C251,Codes!$J$8:$J$117,0)),"Unknown type code",IF(OR(G251="",I251=""),"Env and app required",IF(AND(VLOOKUP(C251,Codes!$J$8:$O$117,4,FALSE)="Global",H251&lt;&gt;""),"Global type: leave region blank",IF(AND(VLOOKUP(C251,Codes!$J$8:$O$117,4,FALSE)&lt;&gt;"Global",H251=""),"Region required",IF(AND(VLOOKUP(C251,Codes!$J$8:$O$117,5,FALSE)="Required",J251=""),"Qualifier required",IF(AND(VLOOKUP(C251,Codes!$J$8:$O$117,5,FALSE)="None",J251&lt;&gt;""),"This type takes no qualifier",IF(AND(J251&lt;&gt;"",VLOOKUP(C251,Codes!$J$8:$O$117,6,FALSE)&lt;&gt;"-",ISERROR(SEARCH(", "&amp;J251&amp;",",", "&amp;VLOOKUP(C251,Codes!$J$8:$O$117,6,FALSE)&amp;","))),"Qualifier not in allowed list",IF(COUNTIF($M$5:$M$304,M251)&gt;1,"Duplicate name","OK")))))))))</f>
        <v/>
      </c>
      <c r="O251" s="10"/>
      <c r="P251" s="10"/>
      <c r="Q251" s="10"/>
    </row>
    <row r="252" spans="1:17" x14ac:dyDescent="0.25">
      <c r="A252" s="10"/>
      <c r="B252" s="10"/>
      <c r="C252" s="10"/>
      <c r="D252" s="15" t="str">
        <f>IF(C252="","",IFERROR(VLOOKUP(C252,Codes!$J$8:$O$117,2,FALSE),"Unknown type"))</f>
        <v/>
      </c>
      <c r="E252" s="10"/>
      <c r="F252" s="10"/>
      <c r="G252" s="10"/>
      <c r="H252" s="10"/>
      <c r="I252" s="10"/>
      <c r="J252" s="10"/>
      <c r="K252" s="16" t="str">
        <f>IF(C252="","",IFERROR(VLOOKUP(C252,Codes!$J$8:$O$117,6,FALSE),""))</f>
        <v/>
      </c>
      <c r="L252" s="10"/>
      <c r="M252" s="14" t="str">
        <f>IF(C252="","",LOWER(Codes!$B$4&amp;"-"&amp;G252&amp;IF(H252="","","-"&amp;H252)&amp;"-"&amp;C252&amp;"-"&amp;I252&amp;IF(J252="","","-"&amp;J252)&amp;"-"&amp;IF(L252="","01",TEXT(L252,"00"))))</f>
        <v/>
      </c>
      <c r="N252" s="15" t="str">
        <f>IF(C252="","",IF(ISNA(MATCH(C252,Codes!$J$8:$J$117,0)),"Unknown type code",IF(OR(G252="",I252=""),"Env and app required",IF(AND(VLOOKUP(C252,Codes!$J$8:$O$117,4,FALSE)="Global",H252&lt;&gt;""),"Global type: leave region blank",IF(AND(VLOOKUP(C252,Codes!$J$8:$O$117,4,FALSE)&lt;&gt;"Global",H252=""),"Region required",IF(AND(VLOOKUP(C252,Codes!$J$8:$O$117,5,FALSE)="Required",J252=""),"Qualifier required",IF(AND(VLOOKUP(C252,Codes!$J$8:$O$117,5,FALSE)="None",J252&lt;&gt;""),"This type takes no qualifier",IF(AND(J252&lt;&gt;"",VLOOKUP(C252,Codes!$J$8:$O$117,6,FALSE)&lt;&gt;"-",ISERROR(SEARCH(", "&amp;J252&amp;",",", "&amp;VLOOKUP(C252,Codes!$J$8:$O$117,6,FALSE)&amp;","))),"Qualifier not in allowed list",IF(COUNTIF($M$5:$M$304,M252)&gt;1,"Duplicate name","OK")))))))))</f>
        <v/>
      </c>
      <c r="O252" s="10"/>
      <c r="P252" s="10"/>
      <c r="Q252" s="10"/>
    </row>
    <row r="253" spans="1:17" x14ac:dyDescent="0.25">
      <c r="A253" s="10"/>
      <c r="B253" s="10"/>
      <c r="C253" s="10"/>
      <c r="D253" s="15" t="str">
        <f>IF(C253="","",IFERROR(VLOOKUP(C253,Codes!$J$8:$O$117,2,FALSE),"Unknown type"))</f>
        <v/>
      </c>
      <c r="E253" s="10"/>
      <c r="F253" s="10"/>
      <c r="G253" s="10"/>
      <c r="H253" s="10"/>
      <c r="I253" s="10"/>
      <c r="J253" s="10"/>
      <c r="K253" s="16" t="str">
        <f>IF(C253="","",IFERROR(VLOOKUP(C253,Codes!$J$8:$O$117,6,FALSE),""))</f>
        <v/>
      </c>
      <c r="L253" s="10"/>
      <c r="M253" s="14" t="str">
        <f>IF(C253="","",LOWER(Codes!$B$4&amp;"-"&amp;G253&amp;IF(H253="","","-"&amp;H253)&amp;"-"&amp;C253&amp;"-"&amp;I253&amp;IF(J253="","","-"&amp;J253)&amp;"-"&amp;IF(L253="","01",TEXT(L253,"00"))))</f>
        <v/>
      </c>
      <c r="N253" s="15" t="str">
        <f>IF(C253="","",IF(ISNA(MATCH(C253,Codes!$J$8:$J$117,0)),"Unknown type code",IF(OR(G253="",I253=""),"Env and app required",IF(AND(VLOOKUP(C253,Codes!$J$8:$O$117,4,FALSE)="Global",H253&lt;&gt;""),"Global type: leave region blank",IF(AND(VLOOKUP(C253,Codes!$J$8:$O$117,4,FALSE)&lt;&gt;"Global",H253=""),"Region required",IF(AND(VLOOKUP(C253,Codes!$J$8:$O$117,5,FALSE)="Required",J253=""),"Qualifier required",IF(AND(VLOOKUP(C253,Codes!$J$8:$O$117,5,FALSE)="None",J253&lt;&gt;""),"This type takes no qualifier",IF(AND(J253&lt;&gt;"",VLOOKUP(C253,Codes!$J$8:$O$117,6,FALSE)&lt;&gt;"-",ISERROR(SEARCH(", "&amp;J253&amp;",",", "&amp;VLOOKUP(C253,Codes!$J$8:$O$117,6,FALSE)&amp;","))),"Qualifier not in allowed list",IF(COUNTIF($M$5:$M$304,M253)&gt;1,"Duplicate name","OK")))))))))</f>
        <v/>
      </c>
      <c r="O253" s="10"/>
      <c r="P253" s="10"/>
      <c r="Q253" s="10"/>
    </row>
    <row r="254" spans="1:17" x14ac:dyDescent="0.25">
      <c r="A254" s="10"/>
      <c r="B254" s="10"/>
      <c r="C254" s="10"/>
      <c r="D254" s="15" t="str">
        <f>IF(C254="","",IFERROR(VLOOKUP(C254,Codes!$J$8:$O$117,2,FALSE),"Unknown type"))</f>
        <v/>
      </c>
      <c r="E254" s="10"/>
      <c r="F254" s="10"/>
      <c r="G254" s="10"/>
      <c r="H254" s="10"/>
      <c r="I254" s="10"/>
      <c r="J254" s="10"/>
      <c r="K254" s="16" t="str">
        <f>IF(C254="","",IFERROR(VLOOKUP(C254,Codes!$J$8:$O$117,6,FALSE),""))</f>
        <v/>
      </c>
      <c r="L254" s="10"/>
      <c r="M254" s="14" t="str">
        <f>IF(C254="","",LOWER(Codes!$B$4&amp;"-"&amp;G254&amp;IF(H254="","","-"&amp;H254)&amp;"-"&amp;C254&amp;"-"&amp;I254&amp;IF(J254="","","-"&amp;J254)&amp;"-"&amp;IF(L254="","01",TEXT(L254,"00"))))</f>
        <v/>
      </c>
      <c r="N254" s="15" t="str">
        <f>IF(C254="","",IF(ISNA(MATCH(C254,Codes!$J$8:$J$117,0)),"Unknown type code",IF(OR(G254="",I254=""),"Env and app required",IF(AND(VLOOKUP(C254,Codes!$J$8:$O$117,4,FALSE)="Global",H254&lt;&gt;""),"Global type: leave region blank",IF(AND(VLOOKUP(C254,Codes!$J$8:$O$117,4,FALSE)&lt;&gt;"Global",H254=""),"Region required",IF(AND(VLOOKUP(C254,Codes!$J$8:$O$117,5,FALSE)="Required",J254=""),"Qualifier required",IF(AND(VLOOKUP(C254,Codes!$J$8:$O$117,5,FALSE)="None",J254&lt;&gt;""),"This type takes no qualifier",IF(AND(J254&lt;&gt;"",VLOOKUP(C254,Codes!$J$8:$O$117,6,FALSE)&lt;&gt;"-",ISERROR(SEARCH(", "&amp;J254&amp;",",", "&amp;VLOOKUP(C254,Codes!$J$8:$O$117,6,FALSE)&amp;","))),"Qualifier not in allowed list",IF(COUNTIF($M$5:$M$304,M254)&gt;1,"Duplicate name","OK")))))))))</f>
        <v/>
      </c>
      <c r="O254" s="10"/>
      <c r="P254" s="10"/>
      <c r="Q254" s="10"/>
    </row>
    <row r="255" spans="1:17" x14ac:dyDescent="0.25">
      <c r="A255" s="10"/>
      <c r="B255" s="10"/>
      <c r="C255" s="10"/>
      <c r="D255" s="15" t="str">
        <f>IF(C255="","",IFERROR(VLOOKUP(C255,Codes!$J$8:$O$117,2,FALSE),"Unknown type"))</f>
        <v/>
      </c>
      <c r="E255" s="10"/>
      <c r="F255" s="10"/>
      <c r="G255" s="10"/>
      <c r="H255" s="10"/>
      <c r="I255" s="10"/>
      <c r="J255" s="10"/>
      <c r="K255" s="16" t="str">
        <f>IF(C255="","",IFERROR(VLOOKUP(C255,Codes!$J$8:$O$117,6,FALSE),""))</f>
        <v/>
      </c>
      <c r="L255" s="10"/>
      <c r="M255" s="14" t="str">
        <f>IF(C255="","",LOWER(Codes!$B$4&amp;"-"&amp;G255&amp;IF(H255="","","-"&amp;H255)&amp;"-"&amp;C255&amp;"-"&amp;I255&amp;IF(J255="","","-"&amp;J255)&amp;"-"&amp;IF(L255="","01",TEXT(L255,"00"))))</f>
        <v/>
      </c>
      <c r="N255" s="15" t="str">
        <f>IF(C255="","",IF(ISNA(MATCH(C255,Codes!$J$8:$J$117,0)),"Unknown type code",IF(OR(G255="",I255=""),"Env and app required",IF(AND(VLOOKUP(C255,Codes!$J$8:$O$117,4,FALSE)="Global",H255&lt;&gt;""),"Global type: leave region blank",IF(AND(VLOOKUP(C255,Codes!$J$8:$O$117,4,FALSE)&lt;&gt;"Global",H255=""),"Region required",IF(AND(VLOOKUP(C255,Codes!$J$8:$O$117,5,FALSE)="Required",J255=""),"Qualifier required",IF(AND(VLOOKUP(C255,Codes!$J$8:$O$117,5,FALSE)="None",J255&lt;&gt;""),"This type takes no qualifier",IF(AND(J255&lt;&gt;"",VLOOKUP(C255,Codes!$J$8:$O$117,6,FALSE)&lt;&gt;"-",ISERROR(SEARCH(", "&amp;J255&amp;",",", "&amp;VLOOKUP(C255,Codes!$J$8:$O$117,6,FALSE)&amp;","))),"Qualifier not in allowed list",IF(COUNTIF($M$5:$M$304,M255)&gt;1,"Duplicate name","OK")))))))))</f>
        <v/>
      </c>
      <c r="O255" s="10"/>
      <c r="P255" s="10"/>
      <c r="Q255" s="10"/>
    </row>
    <row r="256" spans="1:17" x14ac:dyDescent="0.25">
      <c r="A256" s="10"/>
      <c r="B256" s="10"/>
      <c r="C256" s="10"/>
      <c r="D256" s="15" t="str">
        <f>IF(C256="","",IFERROR(VLOOKUP(C256,Codes!$J$8:$O$117,2,FALSE),"Unknown type"))</f>
        <v/>
      </c>
      <c r="E256" s="10"/>
      <c r="F256" s="10"/>
      <c r="G256" s="10"/>
      <c r="H256" s="10"/>
      <c r="I256" s="10"/>
      <c r="J256" s="10"/>
      <c r="K256" s="16" t="str">
        <f>IF(C256="","",IFERROR(VLOOKUP(C256,Codes!$J$8:$O$117,6,FALSE),""))</f>
        <v/>
      </c>
      <c r="L256" s="10"/>
      <c r="M256" s="14" t="str">
        <f>IF(C256="","",LOWER(Codes!$B$4&amp;"-"&amp;G256&amp;IF(H256="","","-"&amp;H256)&amp;"-"&amp;C256&amp;"-"&amp;I256&amp;IF(J256="","","-"&amp;J256)&amp;"-"&amp;IF(L256="","01",TEXT(L256,"00"))))</f>
        <v/>
      </c>
      <c r="N256" s="15" t="str">
        <f>IF(C256="","",IF(ISNA(MATCH(C256,Codes!$J$8:$J$117,0)),"Unknown type code",IF(OR(G256="",I256=""),"Env and app required",IF(AND(VLOOKUP(C256,Codes!$J$8:$O$117,4,FALSE)="Global",H256&lt;&gt;""),"Global type: leave region blank",IF(AND(VLOOKUP(C256,Codes!$J$8:$O$117,4,FALSE)&lt;&gt;"Global",H256=""),"Region required",IF(AND(VLOOKUP(C256,Codes!$J$8:$O$117,5,FALSE)="Required",J256=""),"Qualifier required",IF(AND(VLOOKUP(C256,Codes!$J$8:$O$117,5,FALSE)="None",J256&lt;&gt;""),"This type takes no qualifier",IF(AND(J256&lt;&gt;"",VLOOKUP(C256,Codes!$J$8:$O$117,6,FALSE)&lt;&gt;"-",ISERROR(SEARCH(", "&amp;J256&amp;",",", "&amp;VLOOKUP(C256,Codes!$J$8:$O$117,6,FALSE)&amp;","))),"Qualifier not in allowed list",IF(COUNTIF($M$5:$M$304,M256)&gt;1,"Duplicate name","OK")))))))))</f>
        <v/>
      </c>
      <c r="O256" s="10"/>
      <c r="P256" s="10"/>
      <c r="Q256" s="10"/>
    </row>
    <row r="257" spans="1:17" x14ac:dyDescent="0.25">
      <c r="A257" s="10"/>
      <c r="B257" s="10"/>
      <c r="C257" s="10"/>
      <c r="D257" s="15" t="str">
        <f>IF(C257="","",IFERROR(VLOOKUP(C257,Codes!$J$8:$O$117,2,FALSE),"Unknown type"))</f>
        <v/>
      </c>
      <c r="E257" s="10"/>
      <c r="F257" s="10"/>
      <c r="G257" s="10"/>
      <c r="H257" s="10"/>
      <c r="I257" s="10"/>
      <c r="J257" s="10"/>
      <c r="K257" s="16" t="str">
        <f>IF(C257="","",IFERROR(VLOOKUP(C257,Codes!$J$8:$O$117,6,FALSE),""))</f>
        <v/>
      </c>
      <c r="L257" s="10"/>
      <c r="M257" s="14" t="str">
        <f>IF(C257="","",LOWER(Codes!$B$4&amp;"-"&amp;G257&amp;IF(H257="","","-"&amp;H257)&amp;"-"&amp;C257&amp;"-"&amp;I257&amp;IF(J257="","","-"&amp;J257)&amp;"-"&amp;IF(L257="","01",TEXT(L257,"00"))))</f>
        <v/>
      </c>
      <c r="N257" s="15" t="str">
        <f>IF(C257="","",IF(ISNA(MATCH(C257,Codes!$J$8:$J$117,0)),"Unknown type code",IF(OR(G257="",I257=""),"Env and app required",IF(AND(VLOOKUP(C257,Codes!$J$8:$O$117,4,FALSE)="Global",H257&lt;&gt;""),"Global type: leave region blank",IF(AND(VLOOKUP(C257,Codes!$J$8:$O$117,4,FALSE)&lt;&gt;"Global",H257=""),"Region required",IF(AND(VLOOKUP(C257,Codes!$J$8:$O$117,5,FALSE)="Required",J257=""),"Qualifier required",IF(AND(VLOOKUP(C257,Codes!$J$8:$O$117,5,FALSE)="None",J257&lt;&gt;""),"This type takes no qualifier",IF(AND(J257&lt;&gt;"",VLOOKUP(C257,Codes!$J$8:$O$117,6,FALSE)&lt;&gt;"-",ISERROR(SEARCH(", "&amp;J257&amp;",",", "&amp;VLOOKUP(C257,Codes!$J$8:$O$117,6,FALSE)&amp;","))),"Qualifier not in allowed list",IF(COUNTIF($M$5:$M$304,M257)&gt;1,"Duplicate name","OK")))))))))</f>
        <v/>
      </c>
      <c r="O257" s="10"/>
      <c r="P257" s="10"/>
      <c r="Q257" s="10"/>
    </row>
    <row r="258" spans="1:17" x14ac:dyDescent="0.25">
      <c r="A258" s="10"/>
      <c r="B258" s="10"/>
      <c r="C258" s="10"/>
      <c r="D258" s="15" t="str">
        <f>IF(C258="","",IFERROR(VLOOKUP(C258,Codes!$J$8:$O$117,2,FALSE),"Unknown type"))</f>
        <v/>
      </c>
      <c r="E258" s="10"/>
      <c r="F258" s="10"/>
      <c r="G258" s="10"/>
      <c r="H258" s="10"/>
      <c r="I258" s="10"/>
      <c r="J258" s="10"/>
      <c r="K258" s="16" t="str">
        <f>IF(C258="","",IFERROR(VLOOKUP(C258,Codes!$J$8:$O$117,6,FALSE),""))</f>
        <v/>
      </c>
      <c r="L258" s="10"/>
      <c r="M258" s="14" t="str">
        <f>IF(C258="","",LOWER(Codes!$B$4&amp;"-"&amp;G258&amp;IF(H258="","","-"&amp;H258)&amp;"-"&amp;C258&amp;"-"&amp;I258&amp;IF(J258="","","-"&amp;J258)&amp;"-"&amp;IF(L258="","01",TEXT(L258,"00"))))</f>
        <v/>
      </c>
      <c r="N258" s="15" t="str">
        <f>IF(C258="","",IF(ISNA(MATCH(C258,Codes!$J$8:$J$117,0)),"Unknown type code",IF(OR(G258="",I258=""),"Env and app required",IF(AND(VLOOKUP(C258,Codes!$J$8:$O$117,4,FALSE)="Global",H258&lt;&gt;""),"Global type: leave region blank",IF(AND(VLOOKUP(C258,Codes!$J$8:$O$117,4,FALSE)&lt;&gt;"Global",H258=""),"Region required",IF(AND(VLOOKUP(C258,Codes!$J$8:$O$117,5,FALSE)="Required",J258=""),"Qualifier required",IF(AND(VLOOKUP(C258,Codes!$J$8:$O$117,5,FALSE)="None",J258&lt;&gt;""),"This type takes no qualifier",IF(AND(J258&lt;&gt;"",VLOOKUP(C258,Codes!$J$8:$O$117,6,FALSE)&lt;&gt;"-",ISERROR(SEARCH(", "&amp;J258&amp;",",", "&amp;VLOOKUP(C258,Codes!$J$8:$O$117,6,FALSE)&amp;","))),"Qualifier not in allowed list",IF(COUNTIF($M$5:$M$304,M258)&gt;1,"Duplicate name","OK")))))))))</f>
        <v/>
      </c>
      <c r="O258" s="10"/>
      <c r="P258" s="10"/>
      <c r="Q258" s="10"/>
    </row>
    <row r="259" spans="1:17" x14ac:dyDescent="0.25">
      <c r="A259" s="10"/>
      <c r="B259" s="10"/>
      <c r="C259" s="10"/>
      <c r="D259" s="15" t="str">
        <f>IF(C259="","",IFERROR(VLOOKUP(C259,Codes!$J$8:$O$117,2,FALSE),"Unknown type"))</f>
        <v/>
      </c>
      <c r="E259" s="10"/>
      <c r="F259" s="10"/>
      <c r="G259" s="10"/>
      <c r="H259" s="10"/>
      <c r="I259" s="10"/>
      <c r="J259" s="10"/>
      <c r="K259" s="16" t="str">
        <f>IF(C259="","",IFERROR(VLOOKUP(C259,Codes!$J$8:$O$117,6,FALSE),""))</f>
        <v/>
      </c>
      <c r="L259" s="10"/>
      <c r="M259" s="14" t="str">
        <f>IF(C259="","",LOWER(Codes!$B$4&amp;"-"&amp;G259&amp;IF(H259="","","-"&amp;H259)&amp;"-"&amp;C259&amp;"-"&amp;I259&amp;IF(J259="","","-"&amp;J259)&amp;"-"&amp;IF(L259="","01",TEXT(L259,"00"))))</f>
        <v/>
      </c>
      <c r="N259" s="15" t="str">
        <f>IF(C259="","",IF(ISNA(MATCH(C259,Codes!$J$8:$J$117,0)),"Unknown type code",IF(OR(G259="",I259=""),"Env and app required",IF(AND(VLOOKUP(C259,Codes!$J$8:$O$117,4,FALSE)="Global",H259&lt;&gt;""),"Global type: leave region blank",IF(AND(VLOOKUP(C259,Codes!$J$8:$O$117,4,FALSE)&lt;&gt;"Global",H259=""),"Region required",IF(AND(VLOOKUP(C259,Codes!$J$8:$O$117,5,FALSE)="Required",J259=""),"Qualifier required",IF(AND(VLOOKUP(C259,Codes!$J$8:$O$117,5,FALSE)="None",J259&lt;&gt;""),"This type takes no qualifier",IF(AND(J259&lt;&gt;"",VLOOKUP(C259,Codes!$J$8:$O$117,6,FALSE)&lt;&gt;"-",ISERROR(SEARCH(", "&amp;J259&amp;",",", "&amp;VLOOKUP(C259,Codes!$J$8:$O$117,6,FALSE)&amp;","))),"Qualifier not in allowed list",IF(COUNTIF($M$5:$M$304,M259)&gt;1,"Duplicate name","OK")))))))))</f>
        <v/>
      </c>
      <c r="O259" s="10"/>
      <c r="P259" s="10"/>
      <c r="Q259" s="10"/>
    </row>
    <row r="260" spans="1:17" x14ac:dyDescent="0.25">
      <c r="A260" s="10"/>
      <c r="B260" s="10"/>
      <c r="C260" s="10"/>
      <c r="D260" s="15" t="str">
        <f>IF(C260="","",IFERROR(VLOOKUP(C260,Codes!$J$8:$O$117,2,FALSE),"Unknown type"))</f>
        <v/>
      </c>
      <c r="E260" s="10"/>
      <c r="F260" s="10"/>
      <c r="G260" s="10"/>
      <c r="H260" s="10"/>
      <c r="I260" s="10"/>
      <c r="J260" s="10"/>
      <c r="K260" s="16" t="str">
        <f>IF(C260="","",IFERROR(VLOOKUP(C260,Codes!$J$8:$O$117,6,FALSE),""))</f>
        <v/>
      </c>
      <c r="L260" s="10"/>
      <c r="M260" s="14" t="str">
        <f>IF(C260="","",LOWER(Codes!$B$4&amp;"-"&amp;G260&amp;IF(H260="","","-"&amp;H260)&amp;"-"&amp;C260&amp;"-"&amp;I260&amp;IF(J260="","","-"&amp;J260)&amp;"-"&amp;IF(L260="","01",TEXT(L260,"00"))))</f>
        <v/>
      </c>
      <c r="N260" s="15" t="str">
        <f>IF(C260="","",IF(ISNA(MATCH(C260,Codes!$J$8:$J$117,0)),"Unknown type code",IF(OR(G260="",I260=""),"Env and app required",IF(AND(VLOOKUP(C260,Codes!$J$8:$O$117,4,FALSE)="Global",H260&lt;&gt;""),"Global type: leave region blank",IF(AND(VLOOKUP(C260,Codes!$J$8:$O$117,4,FALSE)&lt;&gt;"Global",H260=""),"Region required",IF(AND(VLOOKUP(C260,Codes!$J$8:$O$117,5,FALSE)="Required",J260=""),"Qualifier required",IF(AND(VLOOKUP(C260,Codes!$J$8:$O$117,5,FALSE)="None",J260&lt;&gt;""),"This type takes no qualifier",IF(AND(J260&lt;&gt;"",VLOOKUP(C260,Codes!$J$8:$O$117,6,FALSE)&lt;&gt;"-",ISERROR(SEARCH(", "&amp;J260&amp;",",", "&amp;VLOOKUP(C260,Codes!$J$8:$O$117,6,FALSE)&amp;","))),"Qualifier not in allowed list",IF(COUNTIF($M$5:$M$304,M260)&gt;1,"Duplicate name","OK")))))))))</f>
        <v/>
      </c>
      <c r="O260" s="10"/>
      <c r="P260" s="10"/>
      <c r="Q260" s="10"/>
    </row>
    <row r="261" spans="1:17" x14ac:dyDescent="0.25">
      <c r="A261" s="10"/>
      <c r="B261" s="10"/>
      <c r="C261" s="10"/>
      <c r="D261" s="15" t="str">
        <f>IF(C261="","",IFERROR(VLOOKUP(C261,Codes!$J$8:$O$117,2,FALSE),"Unknown type"))</f>
        <v/>
      </c>
      <c r="E261" s="10"/>
      <c r="F261" s="10"/>
      <c r="G261" s="10"/>
      <c r="H261" s="10"/>
      <c r="I261" s="10"/>
      <c r="J261" s="10"/>
      <c r="K261" s="16" t="str">
        <f>IF(C261="","",IFERROR(VLOOKUP(C261,Codes!$J$8:$O$117,6,FALSE),""))</f>
        <v/>
      </c>
      <c r="L261" s="10"/>
      <c r="M261" s="14" t="str">
        <f>IF(C261="","",LOWER(Codes!$B$4&amp;"-"&amp;G261&amp;IF(H261="","","-"&amp;H261)&amp;"-"&amp;C261&amp;"-"&amp;I261&amp;IF(J261="","","-"&amp;J261)&amp;"-"&amp;IF(L261="","01",TEXT(L261,"00"))))</f>
        <v/>
      </c>
      <c r="N261" s="15" t="str">
        <f>IF(C261="","",IF(ISNA(MATCH(C261,Codes!$J$8:$J$117,0)),"Unknown type code",IF(OR(G261="",I261=""),"Env and app required",IF(AND(VLOOKUP(C261,Codes!$J$8:$O$117,4,FALSE)="Global",H261&lt;&gt;""),"Global type: leave region blank",IF(AND(VLOOKUP(C261,Codes!$J$8:$O$117,4,FALSE)&lt;&gt;"Global",H261=""),"Region required",IF(AND(VLOOKUP(C261,Codes!$J$8:$O$117,5,FALSE)="Required",J261=""),"Qualifier required",IF(AND(VLOOKUP(C261,Codes!$J$8:$O$117,5,FALSE)="None",J261&lt;&gt;""),"This type takes no qualifier",IF(AND(J261&lt;&gt;"",VLOOKUP(C261,Codes!$J$8:$O$117,6,FALSE)&lt;&gt;"-",ISERROR(SEARCH(", "&amp;J261&amp;",",", "&amp;VLOOKUP(C261,Codes!$J$8:$O$117,6,FALSE)&amp;","))),"Qualifier not in allowed list",IF(COUNTIF($M$5:$M$304,M261)&gt;1,"Duplicate name","OK")))))))))</f>
        <v/>
      </c>
      <c r="O261" s="10"/>
      <c r="P261" s="10"/>
      <c r="Q261" s="10"/>
    </row>
    <row r="262" spans="1:17" x14ac:dyDescent="0.25">
      <c r="A262" s="10"/>
      <c r="B262" s="10"/>
      <c r="C262" s="10"/>
      <c r="D262" s="15" t="str">
        <f>IF(C262="","",IFERROR(VLOOKUP(C262,Codes!$J$8:$O$117,2,FALSE),"Unknown type"))</f>
        <v/>
      </c>
      <c r="E262" s="10"/>
      <c r="F262" s="10"/>
      <c r="G262" s="10"/>
      <c r="H262" s="10"/>
      <c r="I262" s="10"/>
      <c r="J262" s="10"/>
      <c r="K262" s="16" t="str">
        <f>IF(C262="","",IFERROR(VLOOKUP(C262,Codes!$J$8:$O$117,6,FALSE),""))</f>
        <v/>
      </c>
      <c r="L262" s="10"/>
      <c r="M262" s="14" t="str">
        <f>IF(C262="","",LOWER(Codes!$B$4&amp;"-"&amp;G262&amp;IF(H262="","","-"&amp;H262)&amp;"-"&amp;C262&amp;"-"&amp;I262&amp;IF(J262="","","-"&amp;J262)&amp;"-"&amp;IF(L262="","01",TEXT(L262,"00"))))</f>
        <v/>
      </c>
      <c r="N262" s="15" t="str">
        <f>IF(C262="","",IF(ISNA(MATCH(C262,Codes!$J$8:$J$117,0)),"Unknown type code",IF(OR(G262="",I262=""),"Env and app required",IF(AND(VLOOKUP(C262,Codes!$J$8:$O$117,4,FALSE)="Global",H262&lt;&gt;""),"Global type: leave region blank",IF(AND(VLOOKUP(C262,Codes!$J$8:$O$117,4,FALSE)&lt;&gt;"Global",H262=""),"Region required",IF(AND(VLOOKUP(C262,Codes!$J$8:$O$117,5,FALSE)="Required",J262=""),"Qualifier required",IF(AND(VLOOKUP(C262,Codes!$J$8:$O$117,5,FALSE)="None",J262&lt;&gt;""),"This type takes no qualifier",IF(AND(J262&lt;&gt;"",VLOOKUP(C262,Codes!$J$8:$O$117,6,FALSE)&lt;&gt;"-",ISERROR(SEARCH(", "&amp;J262&amp;",",", "&amp;VLOOKUP(C262,Codes!$J$8:$O$117,6,FALSE)&amp;","))),"Qualifier not in allowed list",IF(COUNTIF($M$5:$M$304,M262)&gt;1,"Duplicate name","OK")))))))))</f>
        <v/>
      </c>
      <c r="O262" s="10"/>
      <c r="P262" s="10"/>
      <c r="Q262" s="10"/>
    </row>
    <row r="263" spans="1:17" x14ac:dyDescent="0.25">
      <c r="A263" s="10"/>
      <c r="B263" s="10"/>
      <c r="C263" s="10"/>
      <c r="D263" s="15" t="str">
        <f>IF(C263="","",IFERROR(VLOOKUP(C263,Codes!$J$8:$O$117,2,FALSE),"Unknown type"))</f>
        <v/>
      </c>
      <c r="E263" s="10"/>
      <c r="F263" s="10"/>
      <c r="G263" s="10"/>
      <c r="H263" s="10"/>
      <c r="I263" s="10"/>
      <c r="J263" s="10"/>
      <c r="K263" s="16" t="str">
        <f>IF(C263="","",IFERROR(VLOOKUP(C263,Codes!$J$8:$O$117,6,FALSE),""))</f>
        <v/>
      </c>
      <c r="L263" s="10"/>
      <c r="M263" s="14" t="str">
        <f>IF(C263="","",LOWER(Codes!$B$4&amp;"-"&amp;G263&amp;IF(H263="","","-"&amp;H263)&amp;"-"&amp;C263&amp;"-"&amp;I263&amp;IF(J263="","","-"&amp;J263)&amp;"-"&amp;IF(L263="","01",TEXT(L263,"00"))))</f>
        <v/>
      </c>
      <c r="N263" s="15" t="str">
        <f>IF(C263="","",IF(ISNA(MATCH(C263,Codes!$J$8:$J$117,0)),"Unknown type code",IF(OR(G263="",I263=""),"Env and app required",IF(AND(VLOOKUP(C263,Codes!$J$8:$O$117,4,FALSE)="Global",H263&lt;&gt;""),"Global type: leave region blank",IF(AND(VLOOKUP(C263,Codes!$J$8:$O$117,4,FALSE)&lt;&gt;"Global",H263=""),"Region required",IF(AND(VLOOKUP(C263,Codes!$J$8:$O$117,5,FALSE)="Required",J263=""),"Qualifier required",IF(AND(VLOOKUP(C263,Codes!$J$8:$O$117,5,FALSE)="None",J263&lt;&gt;""),"This type takes no qualifier",IF(AND(J263&lt;&gt;"",VLOOKUP(C263,Codes!$J$8:$O$117,6,FALSE)&lt;&gt;"-",ISERROR(SEARCH(", "&amp;J263&amp;",",", "&amp;VLOOKUP(C263,Codes!$J$8:$O$117,6,FALSE)&amp;","))),"Qualifier not in allowed list",IF(COUNTIF($M$5:$M$304,M263)&gt;1,"Duplicate name","OK")))))))))</f>
        <v/>
      </c>
      <c r="O263" s="10"/>
      <c r="P263" s="10"/>
      <c r="Q263" s="10"/>
    </row>
    <row r="264" spans="1:17" x14ac:dyDescent="0.25">
      <c r="A264" s="10"/>
      <c r="B264" s="10"/>
      <c r="C264" s="10"/>
      <c r="D264" s="15" t="str">
        <f>IF(C264="","",IFERROR(VLOOKUP(C264,Codes!$J$8:$O$117,2,FALSE),"Unknown type"))</f>
        <v/>
      </c>
      <c r="E264" s="10"/>
      <c r="F264" s="10"/>
      <c r="G264" s="10"/>
      <c r="H264" s="10"/>
      <c r="I264" s="10"/>
      <c r="J264" s="10"/>
      <c r="K264" s="16" t="str">
        <f>IF(C264="","",IFERROR(VLOOKUP(C264,Codes!$J$8:$O$117,6,FALSE),""))</f>
        <v/>
      </c>
      <c r="L264" s="10"/>
      <c r="M264" s="14" t="str">
        <f>IF(C264="","",LOWER(Codes!$B$4&amp;"-"&amp;G264&amp;IF(H264="","","-"&amp;H264)&amp;"-"&amp;C264&amp;"-"&amp;I264&amp;IF(J264="","","-"&amp;J264)&amp;"-"&amp;IF(L264="","01",TEXT(L264,"00"))))</f>
        <v/>
      </c>
      <c r="N264" s="15" t="str">
        <f>IF(C264="","",IF(ISNA(MATCH(C264,Codes!$J$8:$J$117,0)),"Unknown type code",IF(OR(G264="",I264=""),"Env and app required",IF(AND(VLOOKUP(C264,Codes!$J$8:$O$117,4,FALSE)="Global",H264&lt;&gt;""),"Global type: leave region blank",IF(AND(VLOOKUP(C264,Codes!$J$8:$O$117,4,FALSE)&lt;&gt;"Global",H264=""),"Region required",IF(AND(VLOOKUP(C264,Codes!$J$8:$O$117,5,FALSE)="Required",J264=""),"Qualifier required",IF(AND(VLOOKUP(C264,Codes!$J$8:$O$117,5,FALSE)="None",J264&lt;&gt;""),"This type takes no qualifier",IF(AND(J264&lt;&gt;"",VLOOKUP(C264,Codes!$J$8:$O$117,6,FALSE)&lt;&gt;"-",ISERROR(SEARCH(", "&amp;J264&amp;",",", "&amp;VLOOKUP(C264,Codes!$J$8:$O$117,6,FALSE)&amp;","))),"Qualifier not in allowed list",IF(COUNTIF($M$5:$M$304,M264)&gt;1,"Duplicate name","OK")))))))))</f>
        <v/>
      </c>
      <c r="O264" s="10"/>
      <c r="P264" s="10"/>
      <c r="Q264" s="10"/>
    </row>
    <row r="265" spans="1:17" x14ac:dyDescent="0.25">
      <c r="A265" s="10"/>
      <c r="B265" s="10"/>
      <c r="C265" s="10"/>
      <c r="D265" s="15" t="str">
        <f>IF(C265="","",IFERROR(VLOOKUP(C265,Codes!$J$8:$O$117,2,FALSE),"Unknown type"))</f>
        <v/>
      </c>
      <c r="E265" s="10"/>
      <c r="F265" s="10"/>
      <c r="G265" s="10"/>
      <c r="H265" s="10"/>
      <c r="I265" s="10"/>
      <c r="J265" s="10"/>
      <c r="K265" s="16" t="str">
        <f>IF(C265="","",IFERROR(VLOOKUP(C265,Codes!$J$8:$O$117,6,FALSE),""))</f>
        <v/>
      </c>
      <c r="L265" s="10"/>
      <c r="M265" s="14" t="str">
        <f>IF(C265="","",LOWER(Codes!$B$4&amp;"-"&amp;G265&amp;IF(H265="","","-"&amp;H265)&amp;"-"&amp;C265&amp;"-"&amp;I265&amp;IF(J265="","","-"&amp;J265)&amp;"-"&amp;IF(L265="","01",TEXT(L265,"00"))))</f>
        <v/>
      </c>
      <c r="N265" s="15" t="str">
        <f>IF(C265="","",IF(ISNA(MATCH(C265,Codes!$J$8:$J$117,0)),"Unknown type code",IF(OR(G265="",I265=""),"Env and app required",IF(AND(VLOOKUP(C265,Codes!$J$8:$O$117,4,FALSE)="Global",H265&lt;&gt;""),"Global type: leave region blank",IF(AND(VLOOKUP(C265,Codes!$J$8:$O$117,4,FALSE)&lt;&gt;"Global",H265=""),"Region required",IF(AND(VLOOKUP(C265,Codes!$J$8:$O$117,5,FALSE)="Required",J265=""),"Qualifier required",IF(AND(VLOOKUP(C265,Codes!$J$8:$O$117,5,FALSE)="None",J265&lt;&gt;""),"This type takes no qualifier",IF(AND(J265&lt;&gt;"",VLOOKUP(C265,Codes!$J$8:$O$117,6,FALSE)&lt;&gt;"-",ISERROR(SEARCH(", "&amp;J265&amp;",",", "&amp;VLOOKUP(C265,Codes!$J$8:$O$117,6,FALSE)&amp;","))),"Qualifier not in allowed list",IF(COUNTIF($M$5:$M$304,M265)&gt;1,"Duplicate name","OK")))))))))</f>
        <v/>
      </c>
      <c r="O265" s="10"/>
      <c r="P265" s="10"/>
      <c r="Q265" s="10"/>
    </row>
    <row r="266" spans="1:17" x14ac:dyDescent="0.25">
      <c r="A266" s="10"/>
      <c r="B266" s="10"/>
      <c r="C266" s="10"/>
      <c r="D266" s="15" t="str">
        <f>IF(C266="","",IFERROR(VLOOKUP(C266,Codes!$J$8:$O$117,2,FALSE),"Unknown type"))</f>
        <v/>
      </c>
      <c r="E266" s="10"/>
      <c r="F266" s="10"/>
      <c r="G266" s="10"/>
      <c r="H266" s="10"/>
      <c r="I266" s="10"/>
      <c r="J266" s="10"/>
      <c r="K266" s="16" t="str">
        <f>IF(C266="","",IFERROR(VLOOKUP(C266,Codes!$J$8:$O$117,6,FALSE),""))</f>
        <v/>
      </c>
      <c r="L266" s="10"/>
      <c r="M266" s="14" t="str">
        <f>IF(C266="","",LOWER(Codes!$B$4&amp;"-"&amp;G266&amp;IF(H266="","","-"&amp;H266)&amp;"-"&amp;C266&amp;"-"&amp;I266&amp;IF(J266="","","-"&amp;J266)&amp;"-"&amp;IF(L266="","01",TEXT(L266,"00"))))</f>
        <v/>
      </c>
      <c r="N266" s="15" t="str">
        <f>IF(C266="","",IF(ISNA(MATCH(C266,Codes!$J$8:$J$117,0)),"Unknown type code",IF(OR(G266="",I266=""),"Env and app required",IF(AND(VLOOKUP(C266,Codes!$J$8:$O$117,4,FALSE)="Global",H266&lt;&gt;""),"Global type: leave region blank",IF(AND(VLOOKUP(C266,Codes!$J$8:$O$117,4,FALSE)&lt;&gt;"Global",H266=""),"Region required",IF(AND(VLOOKUP(C266,Codes!$J$8:$O$117,5,FALSE)="Required",J266=""),"Qualifier required",IF(AND(VLOOKUP(C266,Codes!$J$8:$O$117,5,FALSE)="None",J266&lt;&gt;""),"This type takes no qualifier",IF(AND(J266&lt;&gt;"",VLOOKUP(C266,Codes!$J$8:$O$117,6,FALSE)&lt;&gt;"-",ISERROR(SEARCH(", "&amp;J266&amp;",",", "&amp;VLOOKUP(C266,Codes!$J$8:$O$117,6,FALSE)&amp;","))),"Qualifier not in allowed list",IF(COUNTIF($M$5:$M$304,M266)&gt;1,"Duplicate name","OK")))))))))</f>
        <v/>
      </c>
      <c r="O266" s="10"/>
      <c r="P266" s="10"/>
      <c r="Q266" s="10"/>
    </row>
    <row r="267" spans="1:17" x14ac:dyDescent="0.25">
      <c r="A267" s="10"/>
      <c r="B267" s="10"/>
      <c r="C267" s="10"/>
      <c r="D267" s="15" t="str">
        <f>IF(C267="","",IFERROR(VLOOKUP(C267,Codes!$J$8:$O$117,2,FALSE),"Unknown type"))</f>
        <v/>
      </c>
      <c r="E267" s="10"/>
      <c r="F267" s="10"/>
      <c r="G267" s="10"/>
      <c r="H267" s="10"/>
      <c r="I267" s="10"/>
      <c r="J267" s="10"/>
      <c r="K267" s="16" t="str">
        <f>IF(C267="","",IFERROR(VLOOKUP(C267,Codes!$J$8:$O$117,6,FALSE),""))</f>
        <v/>
      </c>
      <c r="L267" s="10"/>
      <c r="M267" s="14" t="str">
        <f>IF(C267="","",LOWER(Codes!$B$4&amp;"-"&amp;G267&amp;IF(H267="","","-"&amp;H267)&amp;"-"&amp;C267&amp;"-"&amp;I267&amp;IF(J267="","","-"&amp;J267)&amp;"-"&amp;IF(L267="","01",TEXT(L267,"00"))))</f>
        <v/>
      </c>
      <c r="N267" s="15" t="str">
        <f>IF(C267="","",IF(ISNA(MATCH(C267,Codes!$J$8:$J$117,0)),"Unknown type code",IF(OR(G267="",I267=""),"Env and app required",IF(AND(VLOOKUP(C267,Codes!$J$8:$O$117,4,FALSE)="Global",H267&lt;&gt;""),"Global type: leave region blank",IF(AND(VLOOKUP(C267,Codes!$J$8:$O$117,4,FALSE)&lt;&gt;"Global",H267=""),"Region required",IF(AND(VLOOKUP(C267,Codes!$J$8:$O$117,5,FALSE)="Required",J267=""),"Qualifier required",IF(AND(VLOOKUP(C267,Codes!$J$8:$O$117,5,FALSE)="None",J267&lt;&gt;""),"This type takes no qualifier",IF(AND(J267&lt;&gt;"",VLOOKUP(C267,Codes!$J$8:$O$117,6,FALSE)&lt;&gt;"-",ISERROR(SEARCH(", "&amp;J267&amp;",",", "&amp;VLOOKUP(C267,Codes!$J$8:$O$117,6,FALSE)&amp;","))),"Qualifier not in allowed list",IF(COUNTIF($M$5:$M$304,M267)&gt;1,"Duplicate name","OK")))))))))</f>
        <v/>
      </c>
      <c r="O267" s="10"/>
      <c r="P267" s="10"/>
      <c r="Q267" s="10"/>
    </row>
    <row r="268" spans="1:17" x14ac:dyDescent="0.25">
      <c r="A268" s="10"/>
      <c r="B268" s="10"/>
      <c r="C268" s="10"/>
      <c r="D268" s="15" t="str">
        <f>IF(C268="","",IFERROR(VLOOKUP(C268,Codes!$J$8:$O$117,2,FALSE),"Unknown type"))</f>
        <v/>
      </c>
      <c r="E268" s="10"/>
      <c r="F268" s="10"/>
      <c r="G268" s="10"/>
      <c r="H268" s="10"/>
      <c r="I268" s="10"/>
      <c r="J268" s="10"/>
      <c r="K268" s="16" t="str">
        <f>IF(C268="","",IFERROR(VLOOKUP(C268,Codes!$J$8:$O$117,6,FALSE),""))</f>
        <v/>
      </c>
      <c r="L268" s="10"/>
      <c r="M268" s="14" t="str">
        <f>IF(C268="","",LOWER(Codes!$B$4&amp;"-"&amp;G268&amp;IF(H268="","","-"&amp;H268)&amp;"-"&amp;C268&amp;"-"&amp;I268&amp;IF(J268="","","-"&amp;J268)&amp;"-"&amp;IF(L268="","01",TEXT(L268,"00"))))</f>
        <v/>
      </c>
      <c r="N268" s="15" t="str">
        <f>IF(C268="","",IF(ISNA(MATCH(C268,Codes!$J$8:$J$117,0)),"Unknown type code",IF(OR(G268="",I268=""),"Env and app required",IF(AND(VLOOKUP(C268,Codes!$J$8:$O$117,4,FALSE)="Global",H268&lt;&gt;""),"Global type: leave region blank",IF(AND(VLOOKUP(C268,Codes!$J$8:$O$117,4,FALSE)&lt;&gt;"Global",H268=""),"Region required",IF(AND(VLOOKUP(C268,Codes!$J$8:$O$117,5,FALSE)="Required",J268=""),"Qualifier required",IF(AND(VLOOKUP(C268,Codes!$J$8:$O$117,5,FALSE)="None",J268&lt;&gt;""),"This type takes no qualifier",IF(AND(J268&lt;&gt;"",VLOOKUP(C268,Codes!$J$8:$O$117,6,FALSE)&lt;&gt;"-",ISERROR(SEARCH(", "&amp;J268&amp;",",", "&amp;VLOOKUP(C268,Codes!$J$8:$O$117,6,FALSE)&amp;","))),"Qualifier not in allowed list",IF(COUNTIF($M$5:$M$304,M268)&gt;1,"Duplicate name","OK")))))))))</f>
        <v/>
      </c>
      <c r="O268" s="10"/>
      <c r="P268" s="10"/>
      <c r="Q268" s="10"/>
    </row>
    <row r="269" spans="1:17" x14ac:dyDescent="0.25">
      <c r="A269" s="10"/>
      <c r="B269" s="10"/>
      <c r="C269" s="10"/>
      <c r="D269" s="15" t="str">
        <f>IF(C269="","",IFERROR(VLOOKUP(C269,Codes!$J$8:$O$117,2,FALSE),"Unknown type"))</f>
        <v/>
      </c>
      <c r="E269" s="10"/>
      <c r="F269" s="10"/>
      <c r="G269" s="10"/>
      <c r="H269" s="10"/>
      <c r="I269" s="10"/>
      <c r="J269" s="10"/>
      <c r="K269" s="16" t="str">
        <f>IF(C269="","",IFERROR(VLOOKUP(C269,Codes!$J$8:$O$117,6,FALSE),""))</f>
        <v/>
      </c>
      <c r="L269" s="10"/>
      <c r="M269" s="14" t="str">
        <f>IF(C269="","",LOWER(Codes!$B$4&amp;"-"&amp;G269&amp;IF(H269="","","-"&amp;H269)&amp;"-"&amp;C269&amp;"-"&amp;I269&amp;IF(J269="","","-"&amp;J269)&amp;"-"&amp;IF(L269="","01",TEXT(L269,"00"))))</f>
        <v/>
      </c>
      <c r="N269" s="15" t="str">
        <f>IF(C269="","",IF(ISNA(MATCH(C269,Codes!$J$8:$J$117,0)),"Unknown type code",IF(OR(G269="",I269=""),"Env and app required",IF(AND(VLOOKUP(C269,Codes!$J$8:$O$117,4,FALSE)="Global",H269&lt;&gt;""),"Global type: leave region blank",IF(AND(VLOOKUP(C269,Codes!$J$8:$O$117,4,FALSE)&lt;&gt;"Global",H269=""),"Region required",IF(AND(VLOOKUP(C269,Codes!$J$8:$O$117,5,FALSE)="Required",J269=""),"Qualifier required",IF(AND(VLOOKUP(C269,Codes!$J$8:$O$117,5,FALSE)="None",J269&lt;&gt;""),"This type takes no qualifier",IF(AND(J269&lt;&gt;"",VLOOKUP(C269,Codes!$J$8:$O$117,6,FALSE)&lt;&gt;"-",ISERROR(SEARCH(", "&amp;J269&amp;",",", "&amp;VLOOKUP(C269,Codes!$J$8:$O$117,6,FALSE)&amp;","))),"Qualifier not in allowed list",IF(COUNTIF($M$5:$M$304,M269)&gt;1,"Duplicate name","OK")))))))))</f>
        <v/>
      </c>
      <c r="O269" s="10"/>
      <c r="P269" s="10"/>
      <c r="Q269" s="10"/>
    </row>
    <row r="270" spans="1:17" x14ac:dyDescent="0.25">
      <c r="A270" s="10"/>
      <c r="B270" s="10"/>
      <c r="C270" s="10"/>
      <c r="D270" s="15" t="str">
        <f>IF(C270="","",IFERROR(VLOOKUP(C270,Codes!$J$8:$O$117,2,FALSE),"Unknown type"))</f>
        <v/>
      </c>
      <c r="E270" s="10"/>
      <c r="F270" s="10"/>
      <c r="G270" s="10"/>
      <c r="H270" s="10"/>
      <c r="I270" s="10"/>
      <c r="J270" s="10"/>
      <c r="K270" s="16" t="str">
        <f>IF(C270="","",IFERROR(VLOOKUP(C270,Codes!$J$8:$O$117,6,FALSE),""))</f>
        <v/>
      </c>
      <c r="L270" s="10"/>
      <c r="M270" s="14" t="str">
        <f>IF(C270="","",LOWER(Codes!$B$4&amp;"-"&amp;G270&amp;IF(H270="","","-"&amp;H270)&amp;"-"&amp;C270&amp;"-"&amp;I270&amp;IF(J270="","","-"&amp;J270)&amp;"-"&amp;IF(L270="","01",TEXT(L270,"00"))))</f>
        <v/>
      </c>
      <c r="N270" s="15" t="str">
        <f>IF(C270="","",IF(ISNA(MATCH(C270,Codes!$J$8:$J$117,0)),"Unknown type code",IF(OR(G270="",I270=""),"Env and app required",IF(AND(VLOOKUP(C270,Codes!$J$8:$O$117,4,FALSE)="Global",H270&lt;&gt;""),"Global type: leave region blank",IF(AND(VLOOKUP(C270,Codes!$J$8:$O$117,4,FALSE)&lt;&gt;"Global",H270=""),"Region required",IF(AND(VLOOKUP(C270,Codes!$J$8:$O$117,5,FALSE)="Required",J270=""),"Qualifier required",IF(AND(VLOOKUP(C270,Codes!$J$8:$O$117,5,FALSE)="None",J270&lt;&gt;""),"This type takes no qualifier",IF(AND(J270&lt;&gt;"",VLOOKUP(C270,Codes!$J$8:$O$117,6,FALSE)&lt;&gt;"-",ISERROR(SEARCH(", "&amp;J270&amp;",",", "&amp;VLOOKUP(C270,Codes!$J$8:$O$117,6,FALSE)&amp;","))),"Qualifier not in allowed list",IF(COUNTIF($M$5:$M$304,M270)&gt;1,"Duplicate name","OK")))))))))</f>
        <v/>
      </c>
      <c r="O270" s="10"/>
      <c r="P270" s="10"/>
      <c r="Q270" s="10"/>
    </row>
    <row r="271" spans="1:17" x14ac:dyDescent="0.25">
      <c r="A271" s="10"/>
      <c r="B271" s="10"/>
      <c r="C271" s="10"/>
      <c r="D271" s="15" t="str">
        <f>IF(C271="","",IFERROR(VLOOKUP(C271,Codes!$J$8:$O$117,2,FALSE),"Unknown type"))</f>
        <v/>
      </c>
      <c r="E271" s="10"/>
      <c r="F271" s="10"/>
      <c r="G271" s="10"/>
      <c r="H271" s="10"/>
      <c r="I271" s="10"/>
      <c r="J271" s="10"/>
      <c r="K271" s="16" t="str">
        <f>IF(C271="","",IFERROR(VLOOKUP(C271,Codes!$J$8:$O$117,6,FALSE),""))</f>
        <v/>
      </c>
      <c r="L271" s="10"/>
      <c r="M271" s="14" t="str">
        <f>IF(C271="","",LOWER(Codes!$B$4&amp;"-"&amp;G271&amp;IF(H271="","","-"&amp;H271)&amp;"-"&amp;C271&amp;"-"&amp;I271&amp;IF(J271="","","-"&amp;J271)&amp;"-"&amp;IF(L271="","01",TEXT(L271,"00"))))</f>
        <v/>
      </c>
      <c r="N271" s="15" t="str">
        <f>IF(C271="","",IF(ISNA(MATCH(C271,Codes!$J$8:$J$117,0)),"Unknown type code",IF(OR(G271="",I271=""),"Env and app required",IF(AND(VLOOKUP(C271,Codes!$J$8:$O$117,4,FALSE)="Global",H271&lt;&gt;""),"Global type: leave region blank",IF(AND(VLOOKUP(C271,Codes!$J$8:$O$117,4,FALSE)&lt;&gt;"Global",H271=""),"Region required",IF(AND(VLOOKUP(C271,Codes!$J$8:$O$117,5,FALSE)="Required",J271=""),"Qualifier required",IF(AND(VLOOKUP(C271,Codes!$J$8:$O$117,5,FALSE)="None",J271&lt;&gt;""),"This type takes no qualifier",IF(AND(J271&lt;&gt;"",VLOOKUP(C271,Codes!$J$8:$O$117,6,FALSE)&lt;&gt;"-",ISERROR(SEARCH(", "&amp;J271&amp;",",", "&amp;VLOOKUP(C271,Codes!$J$8:$O$117,6,FALSE)&amp;","))),"Qualifier not in allowed list",IF(COUNTIF($M$5:$M$304,M271)&gt;1,"Duplicate name","OK")))))))))</f>
        <v/>
      </c>
      <c r="O271" s="10"/>
      <c r="P271" s="10"/>
      <c r="Q271" s="10"/>
    </row>
    <row r="272" spans="1:17" x14ac:dyDescent="0.25">
      <c r="A272" s="10"/>
      <c r="B272" s="10"/>
      <c r="C272" s="10"/>
      <c r="D272" s="15" t="str">
        <f>IF(C272="","",IFERROR(VLOOKUP(C272,Codes!$J$8:$O$117,2,FALSE),"Unknown type"))</f>
        <v/>
      </c>
      <c r="E272" s="10"/>
      <c r="F272" s="10"/>
      <c r="G272" s="10"/>
      <c r="H272" s="10"/>
      <c r="I272" s="10"/>
      <c r="J272" s="10"/>
      <c r="K272" s="16" t="str">
        <f>IF(C272="","",IFERROR(VLOOKUP(C272,Codes!$J$8:$O$117,6,FALSE),""))</f>
        <v/>
      </c>
      <c r="L272" s="10"/>
      <c r="M272" s="14" t="str">
        <f>IF(C272="","",LOWER(Codes!$B$4&amp;"-"&amp;G272&amp;IF(H272="","","-"&amp;H272)&amp;"-"&amp;C272&amp;"-"&amp;I272&amp;IF(J272="","","-"&amp;J272)&amp;"-"&amp;IF(L272="","01",TEXT(L272,"00"))))</f>
        <v/>
      </c>
      <c r="N272" s="15" t="str">
        <f>IF(C272="","",IF(ISNA(MATCH(C272,Codes!$J$8:$J$117,0)),"Unknown type code",IF(OR(G272="",I272=""),"Env and app required",IF(AND(VLOOKUP(C272,Codes!$J$8:$O$117,4,FALSE)="Global",H272&lt;&gt;""),"Global type: leave region blank",IF(AND(VLOOKUP(C272,Codes!$J$8:$O$117,4,FALSE)&lt;&gt;"Global",H272=""),"Region required",IF(AND(VLOOKUP(C272,Codes!$J$8:$O$117,5,FALSE)="Required",J272=""),"Qualifier required",IF(AND(VLOOKUP(C272,Codes!$J$8:$O$117,5,FALSE)="None",J272&lt;&gt;""),"This type takes no qualifier",IF(AND(J272&lt;&gt;"",VLOOKUP(C272,Codes!$J$8:$O$117,6,FALSE)&lt;&gt;"-",ISERROR(SEARCH(", "&amp;J272&amp;",",", "&amp;VLOOKUP(C272,Codes!$J$8:$O$117,6,FALSE)&amp;","))),"Qualifier not in allowed list",IF(COUNTIF($M$5:$M$304,M272)&gt;1,"Duplicate name","OK")))))))))</f>
        <v/>
      </c>
      <c r="O272" s="10"/>
      <c r="P272" s="10"/>
      <c r="Q272" s="10"/>
    </row>
    <row r="273" spans="1:17" x14ac:dyDescent="0.25">
      <c r="A273" s="10"/>
      <c r="B273" s="10"/>
      <c r="C273" s="10"/>
      <c r="D273" s="15" t="str">
        <f>IF(C273="","",IFERROR(VLOOKUP(C273,Codes!$J$8:$O$117,2,FALSE),"Unknown type"))</f>
        <v/>
      </c>
      <c r="E273" s="10"/>
      <c r="F273" s="10"/>
      <c r="G273" s="10"/>
      <c r="H273" s="10"/>
      <c r="I273" s="10"/>
      <c r="J273" s="10"/>
      <c r="K273" s="16" t="str">
        <f>IF(C273="","",IFERROR(VLOOKUP(C273,Codes!$J$8:$O$117,6,FALSE),""))</f>
        <v/>
      </c>
      <c r="L273" s="10"/>
      <c r="M273" s="14" t="str">
        <f>IF(C273="","",LOWER(Codes!$B$4&amp;"-"&amp;G273&amp;IF(H273="","","-"&amp;H273)&amp;"-"&amp;C273&amp;"-"&amp;I273&amp;IF(J273="","","-"&amp;J273)&amp;"-"&amp;IF(L273="","01",TEXT(L273,"00"))))</f>
        <v/>
      </c>
      <c r="N273" s="15" t="str">
        <f>IF(C273="","",IF(ISNA(MATCH(C273,Codes!$J$8:$J$117,0)),"Unknown type code",IF(OR(G273="",I273=""),"Env and app required",IF(AND(VLOOKUP(C273,Codes!$J$8:$O$117,4,FALSE)="Global",H273&lt;&gt;""),"Global type: leave region blank",IF(AND(VLOOKUP(C273,Codes!$J$8:$O$117,4,FALSE)&lt;&gt;"Global",H273=""),"Region required",IF(AND(VLOOKUP(C273,Codes!$J$8:$O$117,5,FALSE)="Required",J273=""),"Qualifier required",IF(AND(VLOOKUP(C273,Codes!$J$8:$O$117,5,FALSE)="None",J273&lt;&gt;""),"This type takes no qualifier",IF(AND(J273&lt;&gt;"",VLOOKUP(C273,Codes!$J$8:$O$117,6,FALSE)&lt;&gt;"-",ISERROR(SEARCH(", "&amp;J273&amp;",",", "&amp;VLOOKUP(C273,Codes!$J$8:$O$117,6,FALSE)&amp;","))),"Qualifier not in allowed list",IF(COUNTIF($M$5:$M$304,M273)&gt;1,"Duplicate name","OK")))))))))</f>
        <v/>
      </c>
      <c r="O273" s="10"/>
      <c r="P273" s="10"/>
      <c r="Q273" s="10"/>
    </row>
    <row r="274" spans="1:17" x14ac:dyDescent="0.25">
      <c r="A274" s="10"/>
      <c r="B274" s="10"/>
      <c r="C274" s="10"/>
      <c r="D274" s="15" t="str">
        <f>IF(C274="","",IFERROR(VLOOKUP(C274,Codes!$J$8:$O$117,2,FALSE),"Unknown type"))</f>
        <v/>
      </c>
      <c r="E274" s="10"/>
      <c r="F274" s="10"/>
      <c r="G274" s="10"/>
      <c r="H274" s="10"/>
      <c r="I274" s="10"/>
      <c r="J274" s="10"/>
      <c r="K274" s="16" t="str">
        <f>IF(C274="","",IFERROR(VLOOKUP(C274,Codes!$J$8:$O$117,6,FALSE),""))</f>
        <v/>
      </c>
      <c r="L274" s="10"/>
      <c r="M274" s="14" t="str">
        <f>IF(C274="","",LOWER(Codes!$B$4&amp;"-"&amp;G274&amp;IF(H274="","","-"&amp;H274)&amp;"-"&amp;C274&amp;"-"&amp;I274&amp;IF(J274="","","-"&amp;J274)&amp;"-"&amp;IF(L274="","01",TEXT(L274,"00"))))</f>
        <v/>
      </c>
      <c r="N274" s="15" t="str">
        <f>IF(C274="","",IF(ISNA(MATCH(C274,Codes!$J$8:$J$117,0)),"Unknown type code",IF(OR(G274="",I274=""),"Env and app required",IF(AND(VLOOKUP(C274,Codes!$J$8:$O$117,4,FALSE)="Global",H274&lt;&gt;""),"Global type: leave region blank",IF(AND(VLOOKUP(C274,Codes!$J$8:$O$117,4,FALSE)&lt;&gt;"Global",H274=""),"Region required",IF(AND(VLOOKUP(C274,Codes!$J$8:$O$117,5,FALSE)="Required",J274=""),"Qualifier required",IF(AND(VLOOKUP(C274,Codes!$J$8:$O$117,5,FALSE)="None",J274&lt;&gt;""),"This type takes no qualifier",IF(AND(J274&lt;&gt;"",VLOOKUP(C274,Codes!$J$8:$O$117,6,FALSE)&lt;&gt;"-",ISERROR(SEARCH(", "&amp;J274&amp;",",", "&amp;VLOOKUP(C274,Codes!$J$8:$O$117,6,FALSE)&amp;","))),"Qualifier not in allowed list",IF(COUNTIF($M$5:$M$304,M274)&gt;1,"Duplicate name","OK")))))))))</f>
        <v/>
      </c>
      <c r="O274" s="10"/>
      <c r="P274" s="10"/>
      <c r="Q274" s="10"/>
    </row>
    <row r="275" spans="1:17" x14ac:dyDescent="0.25">
      <c r="A275" s="10"/>
      <c r="B275" s="10"/>
      <c r="C275" s="10"/>
      <c r="D275" s="15" t="str">
        <f>IF(C275="","",IFERROR(VLOOKUP(C275,Codes!$J$8:$O$117,2,FALSE),"Unknown type"))</f>
        <v/>
      </c>
      <c r="E275" s="10"/>
      <c r="F275" s="10"/>
      <c r="G275" s="10"/>
      <c r="H275" s="10"/>
      <c r="I275" s="10"/>
      <c r="J275" s="10"/>
      <c r="K275" s="16" t="str">
        <f>IF(C275="","",IFERROR(VLOOKUP(C275,Codes!$J$8:$O$117,6,FALSE),""))</f>
        <v/>
      </c>
      <c r="L275" s="10"/>
      <c r="M275" s="14" t="str">
        <f>IF(C275="","",LOWER(Codes!$B$4&amp;"-"&amp;G275&amp;IF(H275="","","-"&amp;H275)&amp;"-"&amp;C275&amp;"-"&amp;I275&amp;IF(J275="","","-"&amp;J275)&amp;"-"&amp;IF(L275="","01",TEXT(L275,"00"))))</f>
        <v/>
      </c>
      <c r="N275" s="15" t="str">
        <f>IF(C275="","",IF(ISNA(MATCH(C275,Codes!$J$8:$J$117,0)),"Unknown type code",IF(OR(G275="",I275=""),"Env and app required",IF(AND(VLOOKUP(C275,Codes!$J$8:$O$117,4,FALSE)="Global",H275&lt;&gt;""),"Global type: leave region blank",IF(AND(VLOOKUP(C275,Codes!$J$8:$O$117,4,FALSE)&lt;&gt;"Global",H275=""),"Region required",IF(AND(VLOOKUP(C275,Codes!$J$8:$O$117,5,FALSE)="Required",J275=""),"Qualifier required",IF(AND(VLOOKUP(C275,Codes!$J$8:$O$117,5,FALSE)="None",J275&lt;&gt;""),"This type takes no qualifier",IF(AND(J275&lt;&gt;"",VLOOKUP(C275,Codes!$J$8:$O$117,6,FALSE)&lt;&gt;"-",ISERROR(SEARCH(", "&amp;J275&amp;",",", "&amp;VLOOKUP(C275,Codes!$J$8:$O$117,6,FALSE)&amp;","))),"Qualifier not in allowed list",IF(COUNTIF($M$5:$M$304,M275)&gt;1,"Duplicate name","OK")))))))))</f>
        <v/>
      </c>
      <c r="O275" s="10"/>
      <c r="P275" s="10"/>
      <c r="Q275" s="10"/>
    </row>
    <row r="276" spans="1:17" x14ac:dyDescent="0.25">
      <c r="A276" s="10"/>
      <c r="B276" s="10"/>
      <c r="C276" s="10"/>
      <c r="D276" s="15" t="str">
        <f>IF(C276="","",IFERROR(VLOOKUP(C276,Codes!$J$8:$O$117,2,FALSE),"Unknown type"))</f>
        <v/>
      </c>
      <c r="E276" s="10"/>
      <c r="F276" s="10"/>
      <c r="G276" s="10"/>
      <c r="H276" s="10"/>
      <c r="I276" s="10"/>
      <c r="J276" s="10"/>
      <c r="K276" s="16" t="str">
        <f>IF(C276="","",IFERROR(VLOOKUP(C276,Codes!$J$8:$O$117,6,FALSE),""))</f>
        <v/>
      </c>
      <c r="L276" s="10"/>
      <c r="M276" s="14" t="str">
        <f>IF(C276="","",LOWER(Codes!$B$4&amp;"-"&amp;G276&amp;IF(H276="","","-"&amp;H276)&amp;"-"&amp;C276&amp;"-"&amp;I276&amp;IF(J276="","","-"&amp;J276)&amp;"-"&amp;IF(L276="","01",TEXT(L276,"00"))))</f>
        <v/>
      </c>
      <c r="N276" s="15" t="str">
        <f>IF(C276="","",IF(ISNA(MATCH(C276,Codes!$J$8:$J$117,0)),"Unknown type code",IF(OR(G276="",I276=""),"Env and app required",IF(AND(VLOOKUP(C276,Codes!$J$8:$O$117,4,FALSE)="Global",H276&lt;&gt;""),"Global type: leave region blank",IF(AND(VLOOKUP(C276,Codes!$J$8:$O$117,4,FALSE)&lt;&gt;"Global",H276=""),"Region required",IF(AND(VLOOKUP(C276,Codes!$J$8:$O$117,5,FALSE)="Required",J276=""),"Qualifier required",IF(AND(VLOOKUP(C276,Codes!$J$8:$O$117,5,FALSE)="None",J276&lt;&gt;""),"This type takes no qualifier",IF(AND(J276&lt;&gt;"",VLOOKUP(C276,Codes!$J$8:$O$117,6,FALSE)&lt;&gt;"-",ISERROR(SEARCH(", "&amp;J276&amp;",",", "&amp;VLOOKUP(C276,Codes!$J$8:$O$117,6,FALSE)&amp;","))),"Qualifier not in allowed list",IF(COUNTIF($M$5:$M$304,M276)&gt;1,"Duplicate name","OK")))))))))</f>
        <v/>
      </c>
      <c r="O276" s="10"/>
      <c r="P276" s="10"/>
      <c r="Q276" s="10"/>
    </row>
    <row r="277" spans="1:17" x14ac:dyDescent="0.25">
      <c r="A277" s="10"/>
      <c r="B277" s="10"/>
      <c r="C277" s="10"/>
      <c r="D277" s="15" t="str">
        <f>IF(C277="","",IFERROR(VLOOKUP(C277,Codes!$J$8:$O$117,2,FALSE),"Unknown type"))</f>
        <v/>
      </c>
      <c r="E277" s="10"/>
      <c r="F277" s="10"/>
      <c r="G277" s="10"/>
      <c r="H277" s="10"/>
      <c r="I277" s="10"/>
      <c r="J277" s="10"/>
      <c r="K277" s="16" t="str">
        <f>IF(C277="","",IFERROR(VLOOKUP(C277,Codes!$J$8:$O$117,6,FALSE),""))</f>
        <v/>
      </c>
      <c r="L277" s="10"/>
      <c r="M277" s="14" t="str">
        <f>IF(C277="","",LOWER(Codes!$B$4&amp;"-"&amp;G277&amp;IF(H277="","","-"&amp;H277)&amp;"-"&amp;C277&amp;"-"&amp;I277&amp;IF(J277="","","-"&amp;J277)&amp;"-"&amp;IF(L277="","01",TEXT(L277,"00"))))</f>
        <v/>
      </c>
      <c r="N277" s="15" t="str">
        <f>IF(C277="","",IF(ISNA(MATCH(C277,Codes!$J$8:$J$117,0)),"Unknown type code",IF(OR(G277="",I277=""),"Env and app required",IF(AND(VLOOKUP(C277,Codes!$J$8:$O$117,4,FALSE)="Global",H277&lt;&gt;""),"Global type: leave region blank",IF(AND(VLOOKUP(C277,Codes!$J$8:$O$117,4,FALSE)&lt;&gt;"Global",H277=""),"Region required",IF(AND(VLOOKUP(C277,Codes!$J$8:$O$117,5,FALSE)="Required",J277=""),"Qualifier required",IF(AND(VLOOKUP(C277,Codes!$J$8:$O$117,5,FALSE)="None",J277&lt;&gt;""),"This type takes no qualifier",IF(AND(J277&lt;&gt;"",VLOOKUP(C277,Codes!$J$8:$O$117,6,FALSE)&lt;&gt;"-",ISERROR(SEARCH(", "&amp;J277&amp;",",", "&amp;VLOOKUP(C277,Codes!$J$8:$O$117,6,FALSE)&amp;","))),"Qualifier not in allowed list",IF(COUNTIF($M$5:$M$304,M277)&gt;1,"Duplicate name","OK")))))))))</f>
        <v/>
      </c>
      <c r="O277" s="10"/>
      <c r="P277" s="10"/>
      <c r="Q277" s="10"/>
    </row>
    <row r="278" spans="1:17" x14ac:dyDescent="0.25">
      <c r="A278" s="10"/>
      <c r="B278" s="10"/>
      <c r="C278" s="10"/>
      <c r="D278" s="15" t="str">
        <f>IF(C278="","",IFERROR(VLOOKUP(C278,Codes!$J$8:$O$117,2,FALSE),"Unknown type"))</f>
        <v/>
      </c>
      <c r="E278" s="10"/>
      <c r="F278" s="10"/>
      <c r="G278" s="10"/>
      <c r="H278" s="10"/>
      <c r="I278" s="10"/>
      <c r="J278" s="10"/>
      <c r="K278" s="16" t="str">
        <f>IF(C278="","",IFERROR(VLOOKUP(C278,Codes!$J$8:$O$117,6,FALSE),""))</f>
        <v/>
      </c>
      <c r="L278" s="10"/>
      <c r="M278" s="14" t="str">
        <f>IF(C278="","",LOWER(Codes!$B$4&amp;"-"&amp;G278&amp;IF(H278="","","-"&amp;H278)&amp;"-"&amp;C278&amp;"-"&amp;I278&amp;IF(J278="","","-"&amp;J278)&amp;"-"&amp;IF(L278="","01",TEXT(L278,"00"))))</f>
        <v/>
      </c>
      <c r="N278" s="15" t="str">
        <f>IF(C278="","",IF(ISNA(MATCH(C278,Codes!$J$8:$J$117,0)),"Unknown type code",IF(OR(G278="",I278=""),"Env and app required",IF(AND(VLOOKUP(C278,Codes!$J$8:$O$117,4,FALSE)="Global",H278&lt;&gt;""),"Global type: leave region blank",IF(AND(VLOOKUP(C278,Codes!$J$8:$O$117,4,FALSE)&lt;&gt;"Global",H278=""),"Region required",IF(AND(VLOOKUP(C278,Codes!$J$8:$O$117,5,FALSE)="Required",J278=""),"Qualifier required",IF(AND(VLOOKUP(C278,Codes!$J$8:$O$117,5,FALSE)="None",J278&lt;&gt;""),"This type takes no qualifier",IF(AND(J278&lt;&gt;"",VLOOKUP(C278,Codes!$J$8:$O$117,6,FALSE)&lt;&gt;"-",ISERROR(SEARCH(", "&amp;J278&amp;",",", "&amp;VLOOKUP(C278,Codes!$J$8:$O$117,6,FALSE)&amp;","))),"Qualifier not in allowed list",IF(COUNTIF($M$5:$M$304,M278)&gt;1,"Duplicate name","OK")))))))))</f>
        <v/>
      </c>
      <c r="O278" s="10"/>
      <c r="P278" s="10"/>
      <c r="Q278" s="10"/>
    </row>
    <row r="279" spans="1:17" x14ac:dyDescent="0.25">
      <c r="A279" s="10"/>
      <c r="B279" s="10"/>
      <c r="C279" s="10"/>
      <c r="D279" s="15" t="str">
        <f>IF(C279="","",IFERROR(VLOOKUP(C279,Codes!$J$8:$O$117,2,FALSE),"Unknown type"))</f>
        <v/>
      </c>
      <c r="E279" s="10"/>
      <c r="F279" s="10"/>
      <c r="G279" s="10"/>
      <c r="H279" s="10"/>
      <c r="I279" s="10"/>
      <c r="J279" s="10"/>
      <c r="K279" s="16" t="str">
        <f>IF(C279="","",IFERROR(VLOOKUP(C279,Codes!$J$8:$O$117,6,FALSE),""))</f>
        <v/>
      </c>
      <c r="L279" s="10"/>
      <c r="M279" s="14" t="str">
        <f>IF(C279="","",LOWER(Codes!$B$4&amp;"-"&amp;G279&amp;IF(H279="","","-"&amp;H279)&amp;"-"&amp;C279&amp;"-"&amp;I279&amp;IF(J279="","","-"&amp;J279)&amp;"-"&amp;IF(L279="","01",TEXT(L279,"00"))))</f>
        <v/>
      </c>
      <c r="N279" s="15" t="str">
        <f>IF(C279="","",IF(ISNA(MATCH(C279,Codes!$J$8:$J$117,0)),"Unknown type code",IF(OR(G279="",I279=""),"Env and app required",IF(AND(VLOOKUP(C279,Codes!$J$8:$O$117,4,FALSE)="Global",H279&lt;&gt;""),"Global type: leave region blank",IF(AND(VLOOKUP(C279,Codes!$J$8:$O$117,4,FALSE)&lt;&gt;"Global",H279=""),"Region required",IF(AND(VLOOKUP(C279,Codes!$J$8:$O$117,5,FALSE)="Required",J279=""),"Qualifier required",IF(AND(VLOOKUP(C279,Codes!$J$8:$O$117,5,FALSE)="None",J279&lt;&gt;""),"This type takes no qualifier",IF(AND(J279&lt;&gt;"",VLOOKUP(C279,Codes!$J$8:$O$117,6,FALSE)&lt;&gt;"-",ISERROR(SEARCH(", "&amp;J279&amp;",",", "&amp;VLOOKUP(C279,Codes!$J$8:$O$117,6,FALSE)&amp;","))),"Qualifier not in allowed list",IF(COUNTIF($M$5:$M$304,M279)&gt;1,"Duplicate name","OK")))))))))</f>
        <v/>
      </c>
      <c r="O279" s="10"/>
      <c r="P279" s="10"/>
      <c r="Q279" s="10"/>
    </row>
    <row r="280" spans="1:17" x14ac:dyDescent="0.25">
      <c r="A280" s="10"/>
      <c r="B280" s="10"/>
      <c r="C280" s="10"/>
      <c r="D280" s="15" t="str">
        <f>IF(C280="","",IFERROR(VLOOKUP(C280,Codes!$J$8:$O$117,2,FALSE),"Unknown type"))</f>
        <v/>
      </c>
      <c r="E280" s="10"/>
      <c r="F280" s="10"/>
      <c r="G280" s="10"/>
      <c r="H280" s="10"/>
      <c r="I280" s="10"/>
      <c r="J280" s="10"/>
      <c r="K280" s="16" t="str">
        <f>IF(C280="","",IFERROR(VLOOKUP(C280,Codes!$J$8:$O$117,6,FALSE),""))</f>
        <v/>
      </c>
      <c r="L280" s="10"/>
      <c r="M280" s="14" t="str">
        <f>IF(C280="","",LOWER(Codes!$B$4&amp;"-"&amp;G280&amp;IF(H280="","","-"&amp;H280)&amp;"-"&amp;C280&amp;"-"&amp;I280&amp;IF(J280="","","-"&amp;J280)&amp;"-"&amp;IF(L280="","01",TEXT(L280,"00"))))</f>
        <v/>
      </c>
      <c r="N280" s="15" t="str">
        <f>IF(C280="","",IF(ISNA(MATCH(C280,Codes!$J$8:$J$117,0)),"Unknown type code",IF(OR(G280="",I280=""),"Env and app required",IF(AND(VLOOKUP(C280,Codes!$J$8:$O$117,4,FALSE)="Global",H280&lt;&gt;""),"Global type: leave region blank",IF(AND(VLOOKUP(C280,Codes!$J$8:$O$117,4,FALSE)&lt;&gt;"Global",H280=""),"Region required",IF(AND(VLOOKUP(C280,Codes!$J$8:$O$117,5,FALSE)="Required",J280=""),"Qualifier required",IF(AND(VLOOKUP(C280,Codes!$J$8:$O$117,5,FALSE)="None",J280&lt;&gt;""),"This type takes no qualifier",IF(AND(J280&lt;&gt;"",VLOOKUP(C280,Codes!$J$8:$O$117,6,FALSE)&lt;&gt;"-",ISERROR(SEARCH(", "&amp;J280&amp;",",", "&amp;VLOOKUP(C280,Codes!$J$8:$O$117,6,FALSE)&amp;","))),"Qualifier not in allowed list",IF(COUNTIF($M$5:$M$304,M280)&gt;1,"Duplicate name","OK")))))))))</f>
        <v/>
      </c>
      <c r="O280" s="10"/>
      <c r="P280" s="10"/>
      <c r="Q280" s="10"/>
    </row>
    <row r="281" spans="1:17" x14ac:dyDescent="0.25">
      <c r="A281" s="10"/>
      <c r="B281" s="10"/>
      <c r="C281" s="10"/>
      <c r="D281" s="15" t="str">
        <f>IF(C281="","",IFERROR(VLOOKUP(C281,Codes!$J$8:$O$117,2,FALSE),"Unknown type"))</f>
        <v/>
      </c>
      <c r="E281" s="10"/>
      <c r="F281" s="10"/>
      <c r="G281" s="10"/>
      <c r="H281" s="10"/>
      <c r="I281" s="10"/>
      <c r="J281" s="10"/>
      <c r="K281" s="16" t="str">
        <f>IF(C281="","",IFERROR(VLOOKUP(C281,Codes!$J$8:$O$117,6,FALSE),""))</f>
        <v/>
      </c>
      <c r="L281" s="10"/>
      <c r="M281" s="14" t="str">
        <f>IF(C281="","",LOWER(Codes!$B$4&amp;"-"&amp;G281&amp;IF(H281="","","-"&amp;H281)&amp;"-"&amp;C281&amp;"-"&amp;I281&amp;IF(J281="","","-"&amp;J281)&amp;"-"&amp;IF(L281="","01",TEXT(L281,"00"))))</f>
        <v/>
      </c>
      <c r="N281" s="15" t="str">
        <f>IF(C281="","",IF(ISNA(MATCH(C281,Codes!$J$8:$J$117,0)),"Unknown type code",IF(OR(G281="",I281=""),"Env and app required",IF(AND(VLOOKUP(C281,Codes!$J$8:$O$117,4,FALSE)="Global",H281&lt;&gt;""),"Global type: leave region blank",IF(AND(VLOOKUP(C281,Codes!$J$8:$O$117,4,FALSE)&lt;&gt;"Global",H281=""),"Region required",IF(AND(VLOOKUP(C281,Codes!$J$8:$O$117,5,FALSE)="Required",J281=""),"Qualifier required",IF(AND(VLOOKUP(C281,Codes!$J$8:$O$117,5,FALSE)="None",J281&lt;&gt;""),"This type takes no qualifier",IF(AND(J281&lt;&gt;"",VLOOKUP(C281,Codes!$J$8:$O$117,6,FALSE)&lt;&gt;"-",ISERROR(SEARCH(", "&amp;J281&amp;",",", "&amp;VLOOKUP(C281,Codes!$J$8:$O$117,6,FALSE)&amp;","))),"Qualifier not in allowed list",IF(COUNTIF($M$5:$M$304,M281)&gt;1,"Duplicate name","OK")))))))))</f>
        <v/>
      </c>
      <c r="O281" s="10"/>
      <c r="P281" s="10"/>
      <c r="Q281" s="10"/>
    </row>
    <row r="282" spans="1:17" x14ac:dyDescent="0.25">
      <c r="A282" s="10"/>
      <c r="B282" s="10"/>
      <c r="C282" s="10"/>
      <c r="D282" s="15" t="str">
        <f>IF(C282="","",IFERROR(VLOOKUP(C282,Codes!$J$8:$O$117,2,FALSE),"Unknown type"))</f>
        <v/>
      </c>
      <c r="E282" s="10"/>
      <c r="F282" s="10"/>
      <c r="G282" s="10"/>
      <c r="H282" s="10"/>
      <c r="I282" s="10"/>
      <c r="J282" s="10"/>
      <c r="K282" s="16" t="str">
        <f>IF(C282="","",IFERROR(VLOOKUP(C282,Codes!$J$8:$O$117,6,FALSE),""))</f>
        <v/>
      </c>
      <c r="L282" s="10"/>
      <c r="M282" s="14" t="str">
        <f>IF(C282="","",LOWER(Codes!$B$4&amp;"-"&amp;G282&amp;IF(H282="","","-"&amp;H282)&amp;"-"&amp;C282&amp;"-"&amp;I282&amp;IF(J282="","","-"&amp;J282)&amp;"-"&amp;IF(L282="","01",TEXT(L282,"00"))))</f>
        <v/>
      </c>
      <c r="N282" s="15" t="str">
        <f>IF(C282="","",IF(ISNA(MATCH(C282,Codes!$J$8:$J$117,0)),"Unknown type code",IF(OR(G282="",I282=""),"Env and app required",IF(AND(VLOOKUP(C282,Codes!$J$8:$O$117,4,FALSE)="Global",H282&lt;&gt;""),"Global type: leave region blank",IF(AND(VLOOKUP(C282,Codes!$J$8:$O$117,4,FALSE)&lt;&gt;"Global",H282=""),"Region required",IF(AND(VLOOKUP(C282,Codes!$J$8:$O$117,5,FALSE)="Required",J282=""),"Qualifier required",IF(AND(VLOOKUP(C282,Codes!$J$8:$O$117,5,FALSE)="None",J282&lt;&gt;""),"This type takes no qualifier",IF(AND(J282&lt;&gt;"",VLOOKUP(C282,Codes!$J$8:$O$117,6,FALSE)&lt;&gt;"-",ISERROR(SEARCH(", "&amp;J282&amp;",",", "&amp;VLOOKUP(C282,Codes!$J$8:$O$117,6,FALSE)&amp;","))),"Qualifier not in allowed list",IF(COUNTIF($M$5:$M$304,M282)&gt;1,"Duplicate name","OK")))))))))</f>
        <v/>
      </c>
      <c r="O282" s="10"/>
      <c r="P282" s="10"/>
      <c r="Q282" s="10"/>
    </row>
    <row r="283" spans="1:17" x14ac:dyDescent="0.25">
      <c r="A283" s="10"/>
      <c r="B283" s="10"/>
      <c r="C283" s="10"/>
      <c r="D283" s="15" t="str">
        <f>IF(C283="","",IFERROR(VLOOKUP(C283,Codes!$J$8:$O$117,2,FALSE),"Unknown type"))</f>
        <v/>
      </c>
      <c r="E283" s="10"/>
      <c r="F283" s="10"/>
      <c r="G283" s="10"/>
      <c r="H283" s="10"/>
      <c r="I283" s="10"/>
      <c r="J283" s="10"/>
      <c r="K283" s="16" t="str">
        <f>IF(C283="","",IFERROR(VLOOKUP(C283,Codes!$J$8:$O$117,6,FALSE),""))</f>
        <v/>
      </c>
      <c r="L283" s="10"/>
      <c r="M283" s="14" t="str">
        <f>IF(C283="","",LOWER(Codes!$B$4&amp;"-"&amp;G283&amp;IF(H283="","","-"&amp;H283)&amp;"-"&amp;C283&amp;"-"&amp;I283&amp;IF(J283="","","-"&amp;J283)&amp;"-"&amp;IF(L283="","01",TEXT(L283,"00"))))</f>
        <v/>
      </c>
      <c r="N283" s="15" t="str">
        <f>IF(C283="","",IF(ISNA(MATCH(C283,Codes!$J$8:$J$117,0)),"Unknown type code",IF(OR(G283="",I283=""),"Env and app required",IF(AND(VLOOKUP(C283,Codes!$J$8:$O$117,4,FALSE)="Global",H283&lt;&gt;""),"Global type: leave region blank",IF(AND(VLOOKUP(C283,Codes!$J$8:$O$117,4,FALSE)&lt;&gt;"Global",H283=""),"Region required",IF(AND(VLOOKUP(C283,Codes!$J$8:$O$117,5,FALSE)="Required",J283=""),"Qualifier required",IF(AND(VLOOKUP(C283,Codes!$J$8:$O$117,5,FALSE)="None",J283&lt;&gt;""),"This type takes no qualifier",IF(AND(J283&lt;&gt;"",VLOOKUP(C283,Codes!$J$8:$O$117,6,FALSE)&lt;&gt;"-",ISERROR(SEARCH(", "&amp;J283&amp;",",", "&amp;VLOOKUP(C283,Codes!$J$8:$O$117,6,FALSE)&amp;","))),"Qualifier not in allowed list",IF(COUNTIF($M$5:$M$304,M283)&gt;1,"Duplicate name","OK")))))))))</f>
        <v/>
      </c>
      <c r="O283" s="10"/>
      <c r="P283" s="10"/>
      <c r="Q283" s="10"/>
    </row>
    <row r="284" spans="1:17" x14ac:dyDescent="0.25">
      <c r="A284" s="10"/>
      <c r="B284" s="10"/>
      <c r="C284" s="10"/>
      <c r="D284" s="15" t="str">
        <f>IF(C284="","",IFERROR(VLOOKUP(C284,Codes!$J$8:$O$117,2,FALSE),"Unknown type"))</f>
        <v/>
      </c>
      <c r="E284" s="10"/>
      <c r="F284" s="10"/>
      <c r="G284" s="10"/>
      <c r="H284" s="10"/>
      <c r="I284" s="10"/>
      <c r="J284" s="10"/>
      <c r="K284" s="16" t="str">
        <f>IF(C284="","",IFERROR(VLOOKUP(C284,Codes!$J$8:$O$117,6,FALSE),""))</f>
        <v/>
      </c>
      <c r="L284" s="10"/>
      <c r="M284" s="14" t="str">
        <f>IF(C284="","",LOWER(Codes!$B$4&amp;"-"&amp;G284&amp;IF(H284="","","-"&amp;H284)&amp;"-"&amp;C284&amp;"-"&amp;I284&amp;IF(J284="","","-"&amp;J284)&amp;"-"&amp;IF(L284="","01",TEXT(L284,"00"))))</f>
        <v/>
      </c>
      <c r="N284" s="15" t="str">
        <f>IF(C284="","",IF(ISNA(MATCH(C284,Codes!$J$8:$J$117,0)),"Unknown type code",IF(OR(G284="",I284=""),"Env and app required",IF(AND(VLOOKUP(C284,Codes!$J$8:$O$117,4,FALSE)="Global",H284&lt;&gt;""),"Global type: leave region blank",IF(AND(VLOOKUP(C284,Codes!$J$8:$O$117,4,FALSE)&lt;&gt;"Global",H284=""),"Region required",IF(AND(VLOOKUP(C284,Codes!$J$8:$O$117,5,FALSE)="Required",J284=""),"Qualifier required",IF(AND(VLOOKUP(C284,Codes!$J$8:$O$117,5,FALSE)="None",J284&lt;&gt;""),"This type takes no qualifier",IF(AND(J284&lt;&gt;"",VLOOKUP(C284,Codes!$J$8:$O$117,6,FALSE)&lt;&gt;"-",ISERROR(SEARCH(", "&amp;J284&amp;",",", "&amp;VLOOKUP(C284,Codes!$J$8:$O$117,6,FALSE)&amp;","))),"Qualifier not in allowed list",IF(COUNTIF($M$5:$M$304,M284)&gt;1,"Duplicate name","OK")))))))))</f>
        <v/>
      </c>
      <c r="O284" s="10"/>
      <c r="P284" s="10"/>
      <c r="Q284" s="10"/>
    </row>
    <row r="285" spans="1:17" x14ac:dyDescent="0.25">
      <c r="A285" s="10"/>
      <c r="B285" s="10"/>
      <c r="C285" s="10"/>
      <c r="D285" s="15" t="str">
        <f>IF(C285="","",IFERROR(VLOOKUP(C285,Codes!$J$8:$O$117,2,FALSE),"Unknown type"))</f>
        <v/>
      </c>
      <c r="E285" s="10"/>
      <c r="F285" s="10"/>
      <c r="G285" s="10"/>
      <c r="H285" s="10"/>
      <c r="I285" s="10"/>
      <c r="J285" s="10"/>
      <c r="K285" s="16" t="str">
        <f>IF(C285="","",IFERROR(VLOOKUP(C285,Codes!$J$8:$O$117,6,FALSE),""))</f>
        <v/>
      </c>
      <c r="L285" s="10"/>
      <c r="M285" s="14" t="str">
        <f>IF(C285="","",LOWER(Codes!$B$4&amp;"-"&amp;G285&amp;IF(H285="","","-"&amp;H285)&amp;"-"&amp;C285&amp;"-"&amp;I285&amp;IF(J285="","","-"&amp;J285)&amp;"-"&amp;IF(L285="","01",TEXT(L285,"00"))))</f>
        <v/>
      </c>
      <c r="N285" s="15" t="str">
        <f>IF(C285="","",IF(ISNA(MATCH(C285,Codes!$J$8:$J$117,0)),"Unknown type code",IF(OR(G285="",I285=""),"Env and app required",IF(AND(VLOOKUP(C285,Codes!$J$8:$O$117,4,FALSE)="Global",H285&lt;&gt;""),"Global type: leave region blank",IF(AND(VLOOKUP(C285,Codes!$J$8:$O$117,4,FALSE)&lt;&gt;"Global",H285=""),"Region required",IF(AND(VLOOKUP(C285,Codes!$J$8:$O$117,5,FALSE)="Required",J285=""),"Qualifier required",IF(AND(VLOOKUP(C285,Codes!$J$8:$O$117,5,FALSE)="None",J285&lt;&gt;""),"This type takes no qualifier",IF(AND(J285&lt;&gt;"",VLOOKUP(C285,Codes!$J$8:$O$117,6,FALSE)&lt;&gt;"-",ISERROR(SEARCH(", "&amp;J285&amp;",",", "&amp;VLOOKUP(C285,Codes!$J$8:$O$117,6,FALSE)&amp;","))),"Qualifier not in allowed list",IF(COUNTIF($M$5:$M$304,M285)&gt;1,"Duplicate name","OK")))))))))</f>
        <v/>
      </c>
      <c r="O285" s="10"/>
      <c r="P285" s="10"/>
      <c r="Q285" s="10"/>
    </row>
    <row r="286" spans="1:17" x14ac:dyDescent="0.25">
      <c r="A286" s="10"/>
      <c r="B286" s="10"/>
      <c r="C286" s="10"/>
      <c r="D286" s="15" t="str">
        <f>IF(C286="","",IFERROR(VLOOKUP(C286,Codes!$J$8:$O$117,2,FALSE),"Unknown type"))</f>
        <v/>
      </c>
      <c r="E286" s="10"/>
      <c r="F286" s="10"/>
      <c r="G286" s="10"/>
      <c r="H286" s="10"/>
      <c r="I286" s="10"/>
      <c r="J286" s="10"/>
      <c r="K286" s="16" t="str">
        <f>IF(C286="","",IFERROR(VLOOKUP(C286,Codes!$J$8:$O$117,6,FALSE),""))</f>
        <v/>
      </c>
      <c r="L286" s="10"/>
      <c r="M286" s="14" t="str">
        <f>IF(C286="","",LOWER(Codes!$B$4&amp;"-"&amp;G286&amp;IF(H286="","","-"&amp;H286)&amp;"-"&amp;C286&amp;"-"&amp;I286&amp;IF(J286="","","-"&amp;J286)&amp;"-"&amp;IF(L286="","01",TEXT(L286,"00"))))</f>
        <v/>
      </c>
      <c r="N286" s="15" t="str">
        <f>IF(C286="","",IF(ISNA(MATCH(C286,Codes!$J$8:$J$117,0)),"Unknown type code",IF(OR(G286="",I286=""),"Env and app required",IF(AND(VLOOKUP(C286,Codes!$J$8:$O$117,4,FALSE)="Global",H286&lt;&gt;""),"Global type: leave region blank",IF(AND(VLOOKUP(C286,Codes!$J$8:$O$117,4,FALSE)&lt;&gt;"Global",H286=""),"Region required",IF(AND(VLOOKUP(C286,Codes!$J$8:$O$117,5,FALSE)="Required",J286=""),"Qualifier required",IF(AND(VLOOKUP(C286,Codes!$J$8:$O$117,5,FALSE)="None",J286&lt;&gt;""),"This type takes no qualifier",IF(AND(J286&lt;&gt;"",VLOOKUP(C286,Codes!$J$8:$O$117,6,FALSE)&lt;&gt;"-",ISERROR(SEARCH(", "&amp;J286&amp;",",", "&amp;VLOOKUP(C286,Codes!$J$8:$O$117,6,FALSE)&amp;","))),"Qualifier not in allowed list",IF(COUNTIF($M$5:$M$304,M286)&gt;1,"Duplicate name","OK")))))))))</f>
        <v/>
      </c>
      <c r="O286" s="10"/>
      <c r="P286" s="10"/>
      <c r="Q286" s="10"/>
    </row>
    <row r="287" spans="1:17" x14ac:dyDescent="0.25">
      <c r="A287" s="10"/>
      <c r="B287" s="10"/>
      <c r="C287" s="10"/>
      <c r="D287" s="15" t="str">
        <f>IF(C287="","",IFERROR(VLOOKUP(C287,Codes!$J$8:$O$117,2,FALSE),"Unknown type"))</f>
        <v/>
      </c>
      <c r="E287" s="10"/>
      <c r="F287" s="10"/>
      <c r="G287" s="10"/>
      <c r="H287" s="10"/>
      <c r="I287" s="10"/>
      <c r="J287" s="10"/>
      <c r="K287" s="16" t="str">
        <f>IF(C287="","",IFERROR(VLOOKUP(C287,Codes!$J$8:$O$117,6,FALSE),""))</f>
        <v/>
      </c>
      <c r="L287" s="10"/>
      <c r="M287" s="14" t="str">
        <f>IF(C287="","",LOWER(Codes!$B$4&amp;"-"&amp;G287&amp;IF(H287="","","-"&amp;H287)&amp;"-"&amp;C287&amp;"-"&amp;I287&amp;IF(J287="","","-"&amp;J287)&amp;"-"&amp;IF(L287="","01",TEXT(L287,"00"))))</f>
        <v/>
      </c>
      <c r="N287" s="15" t="str">
        <f>IF(C287="","",IF(ISNA(MATCH(C287,Codes!$J$8:$J$117,0)),"Unknown type code",IF(OR(G287="",I287=""),"Env and app required",IF(AND(VLOOKUP(C287,Codes!$J$8:$O$117,4,FALSE)="Global",H287&lt;&gt;""),"Global type: leave region blank",IF(AND(VLOOKUP(C287,Codes!$J$8:$O$117,4,FALSE)&lt;&gt;"Global",H287=""),"Region required",IF(AND(VLOOKUP(C287,Codes!$J$8:$O$117,5,FALSE)="Required",J287=""),"Qualifier required",IF(AND(VLOOKUP(C287,Codes!$J$8:$O$117,5,FALSE)="None",J287&lt;&gt;""),"This type takes no qualifier",IF(AND(J287&lt;&gt;"",VLOOKUP(C287,Codes!$J$8:$O$117,6,FALSE)&lt;&gt;"-",ISERROR(SEARCH(", "&amp;J287&amp;",",", "&amp;VLOOKUP(C287,Codes!$J$8:$O$117,6,FALSE)&amp;","))),"Qualifier not in allowed list",IF(COUNTIF($M$5:$M$304,M287)&gt;1,"Duplicate name","OK")))))))))</f>
        <v/>
      </c>
      <c r="O287" s="10"/>
      <c r="P287" s="10"/>
      <c r="Q287" s="10"/>
    </row>
    <row r="288" spans="1:17" x14ac:dyDescent="0.25">
      <c r="A288" s="10"/>
      <c r="B288" s="10"/>
      <c r="C288" s="10"/>
      <c r="D288" s="15" t="str">
        <f>IF(C288="","",IFERROR(VLOOKUP(C288,Codes!$J$8:$O$117,2,FALSE),"Unknown type"))</f>
        <v/>
      </c>
      <c r="E288" s="10"/>
      <c r="F288" s="10"/>
      <c r="G288" s="10"/>
      <c r="H288" s="10"/>
      <c r="I288" s="10"/>
      <c r="J288" s="10"/>
      <c r="K288" s="16" t="str">
        <f>IF(C288="","",IFERROR(VLOOKUP(C288,Codes!$J$8:$O$117,6,FALSE),""))</f>
        <v/>
      </c>
      <c r="L288" s="10"/>
      <c r="M288" s="14" t="str">
        <f>IF(C288="","",LOWER(Codes!$B$4&amp;"-"&amp;G288&amp;IF(H288="","","-"&amp;H288)&amp;"-"&amp;C288&amp;"-"&amp;I288&amp;IF(J288="","","-"&amp;J288)&amp;"-"&amp;IF(L288="","01",TEXT(L288,"00"))))</f>
        <v/>
      </c>
      <c r="N288" s="15" t="str">
        <f>IF(C288="","",IF(ISNA(MATCH(C288,Codes!$J$8:$J$117,0)),"Unknown type code",IF(OR(G288="",I288=""),"Env and app required",IF(AND(VLOOKUP(C288,Codes!$J$8:$O$117,4,FALSE)="Global",H288&lt;&gt;""),"Global type: leave region blank",IF(AND(VLOOKUP(C288,Codes!$J$8:$O$117,4,FALSE)&lt;&gt;"Global",H288=""),"Region required",IF(AND(VLOOKUP(C288,Codes!$J$8:$O$117,5,FALSE)="Required",J288=""),"Qualifier required",IF(AND(VLOOKUP(C288,Codes!$J$8:$O$117,5,FALSE)="None",J288&lt;&gt;""),"This type takes no qualifier",IF(AND(J288&lt;&gt;"",VLOOKUP(C288,Codes!$J$8:$O$117,6,FALSE)&lt;&gt;"-",ISERROR(SEARCH(", "&amp;J288&amp;",",", "&amp;VLOOKUP(C288,Codes!$J$8:$O$117,6,FALSE)&amp;","))),"Qualifier not in allowed list",IF(COUNTIF($M$5:$M$304,M288)&gt;1,"Duplicate name","OK")))))))))</f>
        <v/>
      </c>
      <c r="O288" s="10"/>
      <c r="P288" s="10"/>
      <c r="Q288" s="10"/>
    </row>
    <row r="289" spans="1:17" x14ac:dyDescent="0.25">
      <c r="A289" s="10"/>
      <c r="B289" s="10"/>
      <c r="C289" s="10"/>
      <c r="D289" s="15" t="str">
        <f>IF(C289="","",IFERROR(VLOOKUP(C289,Codes!$J$8:$O$117,2,FALSE),"Unknown type"))</f>
        <v/>
      </c>
      <c r="E289" s="10"/>
      <c r="F289" s="10"/>
      <c r="G289" s="10"/>
      <c r="H289" s="10"/>
      <c r="I289" s="10"/>
      <c r="J289" s="10"/>
      <c r="K289" s="16" t="str">
        <f>IF(C289="","",IFERROR(VLOOKUP(C289,Codes!$J$8:$O$117,6,FALSE),""))</f>
        <v/>
      </c>
      <c r="L289" s="10"/>
      <c r="M289" s="14" t="str">
        <f>IF(C289="","",LOWER(Codes!$B$4&amp;"-"&amp;G289&amp;IF(H289="","","-"&amp;H289)&amp;"-"&amp;C289&amp;"-"&amp;I289&amp;IF(J289="","","-"&amp;J289)&amp;"-"&amp;IF(L289="","01",TEXT(L289,"00"))))</f>
        <v/>
      </c>
      <c r="N289" s="15" t="str">
        <f>IF(C289="","",IF(ISNA(MATCH(C289,Codes!$J$8:$J$117,0)),"Unknown type code",IF(OR(G289="",I289=""),"Env and app required",IF(AND(VLOOKUP(C289,Codes!$J$8:$O$117,4,FALSE)="Global",H289&lt;&gt;""),"Global type: leave region blank",IF(AND(VLOOKUP(C289,Codes!$J$8:$O$117,4,FALSE)&lt;&gt;"Global",H289=""),"Region required",IF(AND(VLOOKUP(C289,Codes!$J$8:$O$117,5,FALSE)="Required",J289=""),"Qualifier required",IF(AND(VLOOKUP(C289,Codes!$J$8:$O$117,5,FALSE)="None",J289&lt;&gt;""),"This type takes no qualifier",IF(AND(J289&lt;&gt;"",VLOOKUP(C289,Codes!$J$8:$O$117,6,FALSE)&lt;&gt;"-",ISERROR(SEARCH(", "&amp;J289&amp;",",", "&amp;VLOOKUP(C289,Codes!$J$8:$O$117,6,FALSE)&amp;","))),"Qualifier not in allowed list",IF(COUNTIF($M$5:$M$304,M289)&gt;1,"Duplicate name","OK")))))))))</f>
        <v/>
      </c>
      <c r="O289" s="10"/>
      <c r="P289" s="10"/>
      <c r="Q289" s="10"/>
    </row>
    <row r="290" spans="1:17" x14ac:dyDescent="0.25">
      <c r="A290" s="10"/>
      <c r="B290" s="10"/>
      <c r="C290" s="10"/>
      <c r="D290" s="15" t="str">
        <f>IF(C290="","",IFERROR(VLOOKUP(C290,Codes!$J$8:$O$117,2,FALSE),"Unknown type"))</f>
        <v/>
      </c>
      <c r="E290" s="10"/>
      <c r="F290" s="10"/>
      <c r="G290" s="10"/>
      <c r="H290" s="10"/>
      <c r="I290" s="10"/>
      <c r="J290" s="10"/>
      <c r="K290" s="16" t="str">
        <f>IF(C290="","",IFERROR(VLOOKUP(C290,Codes!$J$8:$O$117,6,FALSE),""))</f>
        <v/>
      </c>
      <c r="L290" s="10"/>
      <c r="M290" s="14" t="str">
        <f>IF(C290="","",LOWER(Codes!$B$4&amp;"-"&amp;G290&amp;IF(H290="","","-"&amp;H290)&amp;"-"&amp;C290&amp;"-"&amp;I290&amp;IF(J290="","","-"&amp;J290)&amp;"-"&amp;IF(L290="","01",TEXT(L290,"00"))))</f>
        <v/>
      </c>
      <c r="N290" s="15" t="str">
        <f>IF(C290="","",IF(ISNA(MATCH(C290,Codes!$J$8:$J$117,0)),"Unknown type code",IF(OR(G290="",I290=""),"Env and app required",IF(AND(VLOOKUP(C290,Codes!$J$8:$O$117,4,FALSE)="Global",H290&lt;&gt;""),"Global type: leave region blank",IF(AND(VLOOKUP(C290,Codes!$J$8:$O$117,4,FALSE)&lt;&gt;"Global",H290=""),"Region required",IF(AND(VLOOKUP(C290,Codes!$J$8:$O$117,5,FALSE)="Required",J290=""),"Qualifier required",IF(AND(VLOOKUP(C290,Codes!$J$8:$O$117,5,FALSE)="None",J290&lt;&gt;""),"This type takes no qualifier",IF(AND(J290&lt;&gt;"",VLOOKUP(C290,Codes!$J$8:$O$117,6,FALSE)&lt;&gt;"-",ISERROR(SEARCH(", "&amp;J290&amp;",",", "&amp;VLOOKUP(C290,Codes!$J$8:$O$117,6,FALSE)&amp;","))),"Qualifier not in allowed list",IF(COUNTIF($M$5:$M$304,M290)&gt;1,"Duplicate name","OK")))))))))</f>
        <v/>
      </c>
      <c r="O290" s="10"/>
      <c r="P290" s="10"/>
      <c r="Q290" s="10"/>
    </row>
    <row r="291" spans="1:17" x14ac:dyDescent="0.25">
      <c r="A291" s="10"/>
      <c r="B291" s="10"/>
      <c r="C291" s="10"/>
      <c r="D291" s="15" t="str">
        <f>IF(C291="","",IFERROR(VLOOKUP(C291,Codes!$J$8:$O$117,2,FALSE),"Unknown type"))</f>
        <v/>
      </c>
      <c r="E291" s="10"/>
      <c r="F291" s="10"/>
      <c r="G291" s="10"/>
      <c r="H291" s="10"/>
      <c r="I291" s="10"/>
      <c r="J291" s="10"/>
      <c r="K291" s="16" t="str">
        <f>IF(C291="","",IFERROR(VLOOKUP(C291,Codes!$J$8:$O$117,6,FALSE),""))</f>
        <v/>
      </c>
      <c r="L291" s="10"/>
      <c r="M291" s="14" t="str">
        <f>IF(C291="","",LOWER(Codes!$B$4&amp;"-"&amp;G291&amp;IF(H291="","","-"&amp;H291)&amp;"-"&amp;C291&amp;"-"&amp;I291&amp;IF(J291="","","-"&amp;J291)&amp;"-"&amp;IF(L291="","01",TEXT(L291,"00"))))</f>
        <v/>
      </c>
      <c r="N291" s="15" t="str">
        <f>IF(C291="","",IF(ISNA(MATCH(C291,Codes!$J$8:$J$117,0)),"Unknown type code",IF(OR(G291="",I291=""),"Env and app required",IF(AND(VLOOKUP(C291,Codes!$J$8:$O$117,4,FALSE)="Global",H291&lt;&gt;""),"Global type: leave region blank",IF(AND(VLOOKUP(C291,Codes!$J$8:$O$117,4,FALSE)&lt;&gt;"Global",H291=""),"Region required",IF(AND(VLOOKUP(C291,Codes!$J$8:$O$117,5,FALSE)="Required",J291=""),"Qualifier required",IF(AND(VLOOKUP(C291,Codes!$J$8:$O$117,5,FALSE)="None",J291&lt;&gt;""),"This type takes no qualifier",IF(AND(J291&lt;&gt;"",VLOOKUP(C291,Codes!$J$8:$O$117,6,FALSE)&lt;&gt;"-",ISERROR(SEARCH(", "&amp;J291&amp;",",", "&amp;VLOOKUP(C291,Codes!$J$8:$O$117,6,FALSE)&amp;","))),"Qualifier not in allowed list",IF(COUNTIF($M$5:$M$304,M291)&gt;1,"Duplicate name","OK")))))))))</f>
        <v/>
      </c>
      <c r="O291" s="10"/>
      <c r="P291" s="10"/>
      <c r="Q291" s="10"/>
    </row>
    <row r="292" spans="1:17" x14ac:dyDescent="0.25">
      <c r="A292" s="10"/>
      <c r="B292" s="10"/>
      <c r="C292" s="10"/>
      <c r="D292" s="15" t="str">
        <f>IF(C292="","",IFERROR(VLOOKUP(C292,Codes!$J$8:$O$117,2,FALSE),"Unknown type"))</f>
        <v/>
      </c>
      <c r="E292" s="10"/>
      <c r="F292" s="10"/>
      <c r="G292" s="10"/>
      <c r="H292" s="10"/>
      <c r="I292" s="10"/>
      <c r="J292" s="10"/>
      <c r="K292" s="16" t="str">
        <f>IF(C292="","",IFERROR(VLOOKUP(C292,Codes!$J$8:$O$117,6,FALSE),""))</f>
        <v/>
      </c>
      <c r="L292" s="10"/>
      <c r="M292" s="14" t="str">
        <f>IF(C292="","",LOWER(Codes!$B$4&amp;"-"&amp;G292&amp;IF(H292="","","-"&amp;H292)&amp;"-"&amp;C292&amp;"-"&amp;I292&amp;IF(J292="","","-"&amp;J292)&amp;"-"&amp;IF(L292="","01",TEXT(L292,"00"))))</f>
        <v/>
      </c>
      <c r="N292" s="15" t="str">
        <f>IF(C292="","",IF(ISNA(MATCH(C292,Codes!$J$8:$J$117,0)),"Unknown type code",IF(OR(G292="",I292=""),"Env and app required",IF(AND(VLOOKUP(C292,Codes!$J$8:$O$117,4,FALSE)="Global",H292&lt;&gt;""),"Global type: leave region blank",IF(AND(VLOOKUP(C292,Codes!$J$8:$O$117,4,FALSE)&lt;&gt;"Global",H292=""),"Region required",IF(AND(VLOOKUP(C292,Codes!$J$8:$O$117,5,FALSE)="Required",J292=""),"Qualifier required",IF(AND(VLOOKUP(C292,Codes!$J$8:$O$117,5,FALSE)="None",J292&lt;&gt;""),"This type takes no qualifier",IF(AND(J292&lt;&gt;"",VLOOKUP(C292,Codes!$J$8:$O$117,6,FALSE)&lt;&gt;"-",ISERROR(SEARCH(", "&amp;J292&amp;",",", "&amp;VLOOKUP(C292,Codes!$J$8:$O$117,6,FALSE)&amp;","))),"Qualifier not in allowed list",IF(COUNTIF($M$5:$M$304,M292)&gt;1,"Duplicate name","OK")))))))))</f>
        <v/>
      </c>
      <c r="O292" s="10"/>
      <c r="P292" s="10"/>
      <c r="Q292" s="10"/>
    </row>
    <row r="293" spans="1:17" x14ac:dyDescent="0.25">
      <c r="A293" s="10"/>
      <c r="B293" s="10"/>
      <c r="C293" s="10"/>
      <c r="D293" s="15" t="str">
        <f>IF(C293="","",IFERROR(VLOOKUP(C293,Codes!$J$8:$O$117,2,FALSE),"Unknown type"))</f>
        <v/>
      </c>
      <c r="E293" s="10"/>
      <c r="F293" s="10"/>
      <c r="G293" s="10"/>
      <c r="H293" s="10"/>
      <c r="I293" s="10"/>
      <c r="J293" s="10"/>
      <c r="K293" s="16" t="str">
        <f>IF(C293="","",IFERROR(VLOOKUP(C293,Codes!$J$8:$O$117,6,FALSE),""))</f>
        <v/>
      </c>
      <c r="L293" s="10"/>
      <c r="M293" s="14" t="str">
        <f>IF(C293="","",LOWER(Codes!$B$4&amp;"-"&amp;G293&amp;IF(H293="","","-"&amp;H293)&amp;"-"&amp;C293&amp;"-"&amp;I293&amp;IF(J293="","","-"&amp;J293)&amp;"-"&amp;IF(L293="","01",TEXT(L293,"00"))))</f>
        <v/>
      </c>
      <c r="N293" s="15" t="str">
        <f>IF(C293="","",IF(ISNA(MATCH(C293,Codes!$J$8:$J$117,0)),"Unknown type code",IF(OR(G293="",I293=""),"Env and app required",IF(AND(VLOOKUP(C293,Codes!$J$8:$O$117,4,FALSE)="Global",H293&lt;&gt;""),"Global type: leave region blank",IF(AND(VLOOKUP(C293,Codes!$J$8:$O$117,4,FALSE)&lt;&gt;"Global",H293=""),"Region required",IF(AND(VLOOKUP(C293,Codes!$J$8:$O$117,5,FALSE)="Required",J293=""),"Qualifier required",IF(AND(VLOOKUP(C293,Codes!$J$8:$O$117,5,FALSE)="None",J293&lt;&gt;""),"This type takes no qualifier",IF(AND(J293&lt;&gt;"",VLOOKUP(C293,Codes!$J$8:$O$117,6,FALSE)&lt;&gt;"-",ISERROR(SEARCH(", "&amp;J293&amp;",",", "&amp;VLOOKUP(C293,Codes!$J$8:$O$117,6,FALSE)&amp;","))),"Qualifier not in allowed list",IF(COUNTIF($M$5:$M$304,M293)&gt;1,"Duplicate name","OK")))))))))</f>
        <v/>
      </c>
      <c r="O293" s="10"/>
      <c r="P293" s="10"/>
      <c r="Q293" s="10"/>
    </row>
    <row r="294" spans="1:17" x14ac:dyDescent="0.25">
      <c r="A294" s="10"/>
      <c r="B294" s="10"/>
      <c r="C294" s="10"/>
      <c r="D294" s="15" t="str">
        <f>IF(C294="","",IFERROR(VLOOKUP(C294,Codes!$J$8:$O$117,2,FALSE),"Unknown type"))</f>
        <v/>
      </c>
      <c r="E294" s="10"/>
      <c r="F294" s="10"/>
      <c r="G294" s="10"/>
      <c r="H294" s="10"/>
      <c r="I294" s="10"/>
      <c r="J294" s="10"/>
      <c r="K294" s="16" t="str">
        <f>IF(C294="","",IFERROR(VLOOKUP(C294,Codes!$J$8:$O$117,6,FALSE),""))</f>
        <v/>
      </c>
      <c r="L294" s="10"/>
      <c r="M294" s="14" t="str">
        <f>IF(C294="","",LOWER(Codes!$B$4&amp;"-"&amp;G294&amp;IF(H294="","","-"&amp;H294)&amp;"-"&amp;C294&amp;"-"&amp;I294&amp;IF(J294="","","-"&amp;J294)&amp;"-"&amp;IF(L294="","01",TEXT(L294,"00"))))</f>
        <v/>
      </c>
      <c r="N294" s="15" t="str">
        <f>IF(C294="","",IF(ISNA(MATCH(C294,Codes!$J$8:$J$117,0)),"Unknown type code",IF(OR(G294="",I294=""),"Env and app required",IF(AND(VLOOKUP(C294,Codes!$J$8:$O$117,4,FALSE)="Global",H294&lt;&gt;""),"Global type: leave region blank",IF(AND(VLOOKUP(C294,Codes!$J$8:$O$117,4,FALSE)&lt;&gt;"Global",H294=""),"Region required",IF(AND(VLOOKUP(C294,Codes!$J$8:$O$117,5,FALSE)="Required",J294=""),"Qualifier required",IF(AND(VLOOKUP(C294,Codes!$J$8:$O$117,5,FALSE)="None",J294&lt;&gt;""),"This type takes no qualifier",IF(AND(J294&lt;&gt;"",VLOOKUP(C294,Codes!$J$8:$O$117,6,FALSE)&lt;&gt;"-",ISERROR(SEARCH(", "&amp;J294&amp;",",", "&amp;VLOOKUP(C294,Codes!$J$8:$O$117,6,FALSE)&amp;","))),"Qualifier not in allowed list",IF(COUNTIF($M$5:$M$304,M294)&gt;1,"Duplicate name","OK")))))))))</f>
        <v/>
      </c>
      <c r="O294" s="10"/>
      <c r="P294" s="10"/>
      <c r="Q294" s="10"/>
    </row>
    <row r="295" spans="1:17" x14ac:dyDescent="0.25">
      <c r="A295" s="10"/>
      <c r="B295" s="10"/>
      <c r="C295" s="10"/>
      <c r="D295" s="15" t="str">
        <f>IF(C295="","",IFERROR(VLOOKUP(C295,Codes!$J$8:$O$117,2,FALSE),"Unknown type"))</f>
        <v/>
      </c>
      <c r="E295" s="10"/>
      <c r="F295" s="10"/>
      <c r="G295" s="10"/>
      <c r="H295" s="10"/>
      <c r="I295" s="10"/>
      <c r="J295" s="10"/>
      <c r="K295" s="16" t="str">
        <f>IF(C295="","",IFERROR(VLOOKUP(C295,Codes!$J$8:$O$117,6,FALSE),""))</f>
        <v/>
      </c>
      <c r="L295" s="10"/>
      <c r="M295" s="14" t="str">
        <f>IF(C295="","",LOWER(Codes!$B$4&amp;"-"&amp;G295&amp;IF(H295="","","-"&amp;H295)&amp;"-"&amp;C295&amp;"-"&amp;I295&amp;IF(J295="","","-"&amp;J295)&amp;"-"&amp;IF(L295="","01",TEXT(L295,"00"))))</f>
        <v/>
      </c>
      <c r="N295" s="15" t="str">
        <f>IF(C295="","",IF(ISNA(MATCH(C295,Codes!$J$8:$J$117,0)),"Unknown type code",IF(OR(G295="",I295=""),"Env and app required",IF(AND(VLOOKUP(C295,Codes!$J$8:$O$117,4,FALSE)="Global",H295&lt;&gt;""),"Global type: leave region blank",IF(AND(VLOOKUP(C295,Codes!$J$8:$O$117,4,FALSE)&lt;&gt;"Global",H295=""),"Region required",IF(AND(VLOOKUP(C295,Codes!$J$8:$O$117,5,FALSE)="Required",J295=""),"Qualifier required",IF(AND(VLOOKUP(C295,Codes!$J$8:$O$117,5,FALSE)="None",J295&lt;&gt;""),"This type takes no qualifier",IF(AND(J295&lt;&gt;"",VLOOKUP(C295,Codes!$J$8:$O$117,6,FALSE)&lt;&gt;"-",ISERROR(SEARCH(", "&amp;J295&amp;",",", "&amp;VLOOKUP(C295,Codes!$J$8:$O$117,6,FALSE)&amp;","))),"Qualifier not in allowed list",IF(COUNTIF($M$5:$M$304,M295)&gt;1,"Duplicate name","OK")))))))))</f>
        <v/>
      </c>
      <c r="O295" s="10"/>
      <c r="P295" s="10"/>
      <c r="Q295" s="10"/>
    </row>
    <row r="296" spans="1:17" x14ac:dyDescent="0.25">
      <c r="A296" s="10"/>
      <c r="B296" s="10"/>
      <c r="C296" s="10"/>
      <c r="D296" s="15" t="str">
        <f>IF(C296="","",IFERROR(VLOOKUP(C296,Codes!$J$8:$O$117,2,FALSE),"Unknown type"))</f>
        <v/>
      </c>
      <c r="E296" s="10"/>
      <c r="F296" s="10"/>
      <c r="G296" s="10"/>
      <c r="H296" s="10"/>
      <c r="I296" s="10"/>
      <c r="J296" s="10"/>
      <c r="K296" s="16" t="str">
        <f>IF(C296="","",IFERROR(VLOOKUP(C296,Codes!$J$8:$O$117,6,FALSE),""))</f>
        <v/>
      </c>
      <c r="L296" s="10"/>
      <c r="M296" s="14" t="str">
        <f>IF(C296="","",LOWER(Codes!$B$4&amp;"-"&amp;G296&amp;IF(H296="","","-"&amp;H296)&amp;"-"&amp;C296&amp;"-"&amp;I296&amp;IF(J296="","","-"&amp;J296)&amp;"-"&amp;IF(L296="","01",TEXT(L296,"00"))))</f>
        <v/>
      </c>
      <c r="N296" s="15" t="str">
        <f>IF(C296="","",IF(ISNA(MATCH(C296,Codes!$J$8:$J$117,0)),"Unknown type code",IF(OR(G296="",I296=""),"Env and app required",IF(AND(VLOOKUP(C296,Codes!$J$8:$O$117,4,FALSE)="Global",H296&lt;&gt;""),"Global type: leave region blank",IF(AND(VLOOKUP(C296,Codes!$J$8:$O$117,4,FALSE)&lt;&gt;"Global",H296=""),"Region required",IF(AND(VLOOKUP(C296,Codes!$J$8:$O$117,5,FALSE)="Required",J296=""),"Qualifier required",IF(AND(VLOOKUP(C296,Codes!$J$8:$O$117,5,FALSE)="None",J296&lt;&gt;""),"This type takes no qualifier",IF(AND(J296&lt;&gt;"",VLOOKUP(C296,Codes!$J$8:$O$117,6,FALSE)&lt;&gt;"-",ISERROR(SEARCH(", "&amp;J296&amp;",",", "&amp;VLOOKUP(C296,Codes!$J$8:$O$117,6,FALSE)&amp;","))),"Qualifier not in allowed list",IF(COUNTIF($M$5:$M$304,M296)&gt;1,"Duplicate name","OK")))))))))</f>
        <v/>
      </c>
      <c r="O296" s="10"/>
      <c r="P296" s="10"/>
      <c r="Q296" s="10"/>
    </row>
    <row r="297" spans="1:17" x14ac:dyDescent="0.25">
      <c r="A297" s="10"/>
      <c r="B297" s="10"/>
      <c r="C297" s="10"/>
      <c r="D297" s="15" t="str">
        <f>IF(C297="","",IFERROR(VLOOKUP(C297,Codes!$J$8:$O$117,2,FALSE),"Unknown type"))</f>
        <v/>
      </c>
      <c r="E297" s="10"/>
      <c r="F297" s="10"/>
      <c r="G297" s="10"/>
      <c r="H297" s="10"/>
      <c r="I297" s="10"/>
      <c r="J297" s="10"/>
      <c r="K297" s="16" t="str">
        <f>IF(C297="","",IFERROR(VLOOKUP(C297,Codes!$J$8:$O$117,6,FALSE),""))</f>
        <v/>
      </c>
      <c r="L297" s="10"/>
      <c r="M297" s="14" t="str">
        <f>IF(C297="","",LOWER(Codes!$B$4&amp;"-"&amp;G297&amp;IF(H297="","","-"&amp;H297)&amp;"-"&amp;C297&amp;"-"&amp;I297&amp;IF(J297="","","-"&amp;J297)&amp;"-"&amp;IF(L297="","01",TEXT(L297,"00"))))</f>
        <v/>
      </c>
      <c r="N297" s="15" t="str">
        <f>IF(C297="","",IF(ISNA(MATCH(C297,Codes!$J$8:$J$117,0)),"Unknown type code",IF(OR(G297="",I297=""),"Env and app required",IF(AND(VLOOKUP(C297,Codes!$J$8:$O$117,4,FALSE)="Global",H297&lt;&gt;""),"Global type: leave region blank",IF(AND(VLOOKUP(C297,Codes!$J$8:$O$117,4,FALSE)&lt;&gt;"Global",H297=""),"Region required",IF(AND(VLOOKUP(C297,Codes!$J$8:$O$117,5,FALSE)="Required",J297=""),"Qualifier required",IF(AND(VLOOKUP(C297,Codes!$J$8:$O$117,5,FALSE)="None",J297&lt;&gt;""),"This type takes no qualifier",IF(AND(J297&lt;&gt;"",VLOOKUP(C297,Codes!$J$8:$O$117,6,FALSE)&lt;&gt;"-",ISERROR(SEARCH(", "&amp;J297&amp;",",", "&amp;VLOOKUP(C297,Codes!$J$8:$O$117,6,FALSE)&amp;","))),"Qualifier not in allowed list",IF(COUNTIF($M$5:$M$304,M297)&gt;1,"Duplicate name","OK")))))))))</f>
        <v/>
      </c>
      <c r="O297" s="10"/>
      <c r="P297" s="10"/>
      <c r="Q297" s="10"/>
    </row>
    <row r="298" spans="1:17" x14ac:dyDescent="0.25">
      <c r="A298" s="10"/>
      <c r="B298" s="10"/>
      <c r="C298" s="10"/>
      <c r="D298" s="15" t="str">
        <f>IF(C298="","",IFERROR(VLOOKUP(C298,Codes!$J$8:$O$117,2,FALSE),"Unknown type"))</f>
        <v/>
      </c>
      <c r="E298" s="10"/>
      <c r="F298" s="10"/>
      <c r="G298" s="10"/>
      <c r="H298" s="10"/>
      <c r="I298" s="10"/>
      <c r="J298" s="10"/>
      <c r="K298" s="16" t="str">
        <f>IF(C298="","",IFERROR(VLOOKUP(C298,Codes!$J$8:$O$117,6,FALSE),""))</f>
        <v/>
      </c>
      <c r="L298" s="10"/>
      <c r="M298" s="14" t="str">
        <f>IF(C298="","",LOWER(Codes!$B$4&amp;"-"&amp;G298&amp;IF(H298="","","-"&amp;H298)&amp;"-"&amp;C298&amp;"-"&amp;I298&amp;IF(J298="","","-"&amp;J298)&amp;"-"&amp;IF(L298="","01",TEXT(L298,"00"))))</f>
        <v/>
      </c>
      <c r="N298" s="15" t="str">
        <f>IF(C298="","",IF(ISNA(MATCH(C298,Codes!$J$8:$J$117,0)),"Unknown type code",IF(OR(G298="",I298=""),"Env and app required",IF(AND(VLOOKUP(C298,Codes!$J$8:$O$117,4,FALSE)="Global",H298&lt;&gt;""),"Global type: leave region blank",IF(AND(VLOOKUP(C298,Codes!$J$8:$O$117,4,FALSE)&lt;&gt;"Global",H298=""),"Region required",IF(AND(VLOOKUP(C298,Codes!$J$8:$O$117,5,FALSE)="Required",J298=""),"Qualifier required",IF(AND(VLOOKUP(C298,Codes!$J$8:$O$117,5,FALSE)="None",J298&lt;&gt;""),"This type takes no qualifier",IF(AND(J298&lt;&gt;"",VLOOKUP(C298,Codes!$J$8:$O$117,6,FALSE)&lt;&gt;"-",ISERROR(SEARCH(", "&amp;J298&amp;",",", "&amp;VLOOKUP(C298,Codes!$J$8:$O$117,6,FALSE)&amp;","))),"Qualifier not in allowed list",IF(COUNTIF($M$5:$M$304,M298)&gt;1,"Duplicate name","OK")))))))))</f>
        <v/>
      </c>
      <c r="O298" s="10"/>
      <c r="P298" s="10"/>
      <c r="Q298" s="10"/>
    </row>
    <row r="299" spans="1:17" x14ac:dyDescent="0.25">
      <c r="A299" s="10"/>
      <c r="B299" s="10"/>
      <c r="C299" s="10"/>
      <c r="D299" s="15" t="str">
        <f>IF(C299="","",IFERROR(VLOOKUP(C299,Codes!$J$8:$O$117,2,FALSE),"Unknown type"))</f>
        <v/>
      </c>
      <c r="E299" s="10"/>
      <c r="F299" s="10"/>
      <c r="G299" s="10"/>
      <c r="H299" s="10"/>
      <c r="I299" s="10"/>
      <c r="J299" s="10"/>
      <c r="K299" s="16" t="str">
        <f>IF(C299="","",IFERROR(VLOOKUP(C299,Codes!$J$8:$O$117,6,FALSE),""))</f>
        <v/>
      </c>
      <c r="L299" s="10"/>
      <c r="M299" s="14" t="str">
        <f>IF(C299="","",LOWER(Codes!$B$4&amp;"-"&amp;G299&amp;IF(H299="","","-"&amp;H299)&amp;"-"&amp;C299&amp;"-"&amp;I299&amp;IF(J299="","","-"&amp;J299)&amp;"-"&amp;IF(L299="","01",TEXT(L299,"00"))))</f>
        <v/>
      </c>
      <c r="N299" s="15" t="str">
        <f>IF(C299="","",IF(ISNA(MATCH(C299,Codes!$J$8:$J$117,0)),"Unknown type code",IF(OR(G299="",I299=""),"Env and app required",IF(AND(VLOOKUP(C299,Codes!$J$8:$O$117,4,FALSE)="Global",H299&lt;&gt;""),"Global type: leave region blank",IF(AND(VLOOKUP(C299,Codes!$J$8:$O$117,4,FALSE)&lt;&gt;"Global",H299=""),"Region required",IF(AND(VLOOKUP(C299,Codes!$J$8:$O$117,5,FALSE)="Required",J299=""),"Qualifier required",IF(AND(VLOOKUP(C299,Codes!$J$8:$O$117,5,FALSE)="None",J299&lt;&gt;""),"This type takes no qualifier",IF(AND(J299&lt;&gt;"",VLOOKUP(C299,Codes!$J$8:$O$117,6,FALSE)&lt;&gt;"-",ISERROR(SEARCH(", "&amp;J299&amp;",",", "&amp;VLOOKUP(C299,Codes!$J$8:$O$117,6,FALSE)&amp;","))),"Qualifier not in allowed list",IF(COUNTIF($M$5:$M$304,M299)&gt;1,"Duplicate name","OK")))))))))</f>
        <v/>
      </c>
      <c r="O299" s="10"/>
      <c r="P299" s="10"/>
      <c r="Q299" s="10"/>
    </row>
    <row r="300" spans="1:17" x14ac:dyDescent="0.25">
      <c r="A300" s="10"/>
      <c r="B300" s="10"/>
      <c r="C300" s="10"/>
      <c r="D300" s="15" t="str">
        <f>IF(C300="","",IFERROR(VLOOKUP(C300,Codes!$J$8:$O$117,2,FALSE),"Unknown type"))</f>
        <v/>
      </c>
      <c r="E300" s="10"/>
      <c r="F300" s="10"/>
      <c r="G300" s="10"/>
      <c r="H300" s="10"/>
      <c r="I300" s="10"/>
      <c r="J300" s="10"/>
      <c r="K300" s="16" t="str">
        <f>IF(C300="","",IFERROR(VLOOKUP(C300,Codes!$J$8:$O$117,6,FALSE),""))</f>
        <v/>
      </c>
      <c r="L300" s="10"/>
      <c r="M300" s="14" t="str">
        <f>IF(C300="","",LOWER(Codes!$B$4&amp;"-"&amp;G300&amp;IF(H300="","","-"&amp;H300)&amp;"-"&amp;C300&amp;"-"&amp;I300&amp;IF(J300="","","-"&amp;J300)&amp;"-"&amp;IF(L300="","01",TEXT(L300,"00"))))</f>
        <v/>
      </c>
      <c r="N300" s="15" t="str">
        <f>IF(C300="","",IF(ISNA(MATCH(C300,Codes!$J$8:$J$117,0)),"Unknown type code",IF(OR(G300="",I300=""),"Env and app required",IF(AND(VLOOKUP(C300,Codes!$J$8:$O$117,4,FALSE)="Global",H300&lt;&gt;""),"Global type: leave region blank",IF(AND(VLOOKUP(C300,Codes!$J$8:$O$117,4,FALSE)&lt;&gt;"Global",H300=""),"Region required",IF(AND(VLOOKUP(C300,Codes!$J$8:$O$117,5,FALSE)="Required",J300=""),"Qualifier required",IF(AND(VLOOKUP(C300,Codes!$J$8:$O$117,5,FALSE)="None",J300&lt;&gt;""),"This type takes no qualifier",IF(AND(J300&lt;&gt;"",VLOOKUP(C300,Codes!$J$8:$O$117,6,FALSE)&lt;&gt;"-",ISERROR(SEARCH(", "&amp;J300&amp;",",", "&amp;VLOOKUP(C300,Codes!$J$8:$O$117,6,FALSE)&amp;","))),"Qualifier not in allowed list",IF(COUNTIF($M$5:$M$304,M300)&gt;1,"Duplicate name","OK")))))))))</f>
        <v/>
      </c>
      <c r="O300" s="10"/>
      <c r="P300" s="10"/>
      <c r="Q300" s="10"/>
    </row>
    <row r="301" spans="1:17" x14ac:dyDescent="0.25">
      <c r="A301" s="10"/>
      <c r="B301" s="10"/>
      <c r="C301" s="10"/>
      <c r="D301" s="15" t="str">
        <f>IF(C301="","",IFERROR(VLOOKUP(C301,Codes!$J$8:$O$117,2,FALSE),"Unknown type"))</f>
        <v/>
      </c>
      <c r="E301" s="10"/>
      <c r="F301" s="10"/>
      <c r="G301" s="10"/>
      <c r="H301" s="10"/>
      <c r="I301" s="10"/>
      <c r="J301" s="10"/>
      <c r="K301" s="16" t="str">
        <f>IF(C301="","",IFERROR(VLOOKUP(C301,Codes!$J$8:$O$117,6,FALSE),""))</f>
        <v/>
      </c>
      <c r="L301" s="10"/>
      <c r="M301" s="14" t="str">
        <f>IF(C301="","",LOWER(Codes!$B$4&amp;"-"&amp;G301&amp;IF(H301="","","-"&amp;H301)&amp;"-"&amp;C301&amp;"-"&amp;I301&amp;IF(J301="","","-"&amp;J301)&amp;"-"&amp;IF(L301="","01",TEXT(L301,"00"))))</f>
        <v/>
      </c>
      <c r="N301" s="15" t="str">
        <f>IF(C301="","",IF(ISNA(MATCH(C301,Codes!$J$8:$J$117,0)),"Unknown type code",IF(OR(G301="",I301=""),"Env and app required",IF(AND(VLOOKUP(C301,Codes!$J$8:$O$117,4,FALSE)="Global",H301&lt;&gt;""),"Global type: leave region blank",IF(AND(VLOOKUP(C301,Codes!$J$8:$O$117,4,FALSE)&lt;&gt;"Global",H301=""),"Region required",IF(AND(VLOOKUP(C301,Codes!$J$8:$O$117,5,FALSE)="Required",J301=""),"Qualifier required",IF(AND(VLOOKUP(C301,Codes!$J$8:$O$117,5,FALSE)="None",J301&lt;&gt;""),"This type takes no qualifier",IF(AND(J301&lt;&gt;"",VLOOKUP(C301,Codes!$J$8:$O$117,6,FALSE)&lt;&gt;"-",ISERROR(SEARCH(", "&amp;J301&amp;",",", "&amp;VLOOKUP(C301,Codes!$J$8:$O$117,6,FALSE)&amp;","))),"Qualifier not in allowed list",IF(COUNTIF($M$5:$M$304,M301)&gt;1,"Duplicate name","OK")))))))))</f>
        <v/>
      </c>
      <c r="O301" s="10"/>
      <c r="P301" s="10"/>
      <c r="Q301" s="10"/>
    </row>
    <row r="302" spans="1:17" x14ac:dyDescent="0.25">
      <c r="A302" s="10"/>
      <c r="B302" s="10"/>
      <c r="C302" s="10"/>
      <c r="D302" s="15" t="str">
        <f>IF(C302="","",IFERROR(VLOOKUP(C302,Codes!$J$8:$O$117,2,FALSE),"Unknown type"))</f>
        <v/>
      </c>
      <c r="E302" s="10"/>
      <c r="F302" s="10"/>
      <c r="G302" s="10"/>
      <c r="H302" s="10"/>
      <c r="I302" s="10"/>
      <c r="J302" s="10"/>
      <c r="K302" s="16" t="str">
        <f>IF(C302="","",IFERROR(VLOOKUP(C302,Codes!$J$8:$O$117,6,FALSE),""))</f>
        <v/>
      </c>
      <c r="L302" s="10"/>
      <c r="M302" s="14" t="str">
        <f>IF(C302="","",LOWER(Codes!$B$4&amp;"-"&amp;G302&amp;IF(H302="","","-"&amp;H302)&amp;"-"&amp;C302&amp;"-"&amp;I302&amp;IF(J302="","","-"&amp;J302)&amp;"-"&amp;IF(L302="","01",TEXT(L302,"00"))))</f>
        <v/>
      </c>
      <c r="N302" s="15" t="str">
        <f>IF(C302="","",IF(ISNA(MATCH(C302,Codes!$J$8:$J$117,0)),"Unknown type code",IF(OR(G302="",I302=""),"Env and app required",IF(AND(VLOOKUP(C302,Codes!$J$8:$O$117,4,FALSE)="Global",H302&lt;&gt;""),"Global type: leave region blank",IF(AND(VLOOKUP(C302,Codes!$J$8:$O$117,4,FALSE)&lt;&gt;"Global",H302=""),"Region required",IF(AND(VLOOKUP(C302,Codes!$J$8:$O$117,5,FALSE)="Required",J302=""),"Qualifier required",IF(AND(VLOOKUP(C302,Codes!$J$8:$O$117,5,FALSE)="None",J302&lt;&gt;""),"This type takes no qualifier",IF(AND(J302&lt;&gt;"",VLOOKUP(C302,Codes!$J$8:$O$117,6,FALSE)&lt;&gt;"-",ISERROR(SEARCH(", "&amp;J302&amp;",",", "&amp;VLOOKUP(C302,Codes!$J$8:$O$117,6,FALSE)&amp;","))),"Qualifier not in allowed list",IF(COUNTIF($M$5:$M$304,M302)&gt;1,"Duplicate name","OK")))))))))</f>
        <v/>
      </c>
      <c r="O302" s="10"/>
      <c r="P302" s="10"/>
      <c r="Q302" s="10"/>
    </row>
    <row r="303" spans="1:17" x14ac:dyDescent="0.25">
      <c r="A303" s="10"/>
      <c r="B303" s="10"/>
      <c r="C303" s="10"/>
      <c r="D303" s="15" t="str">
        <f>IF(C303="","",IFERROR(VLOOKUP(C303,Codes!$J$8:$O$117,2,FALSE),"Unknown type"))</f>
        <v/>
      </c>
      <c r="E303" s="10"/>
      <c r="F303" s="10"/>
      <c r="G303" s="10"/>
      <c r="H303" s="10"/>
      <c r="I303" s="10"/>
      <c r="J303" s="10"/>
      <c r="K303" s="16" t="str">
        <f>IF(C303="","",IFERROR(VLOOKUP(C303,Codes!$J$8:$O$117,6,FALSE),""))</f>
        <v/>
      </c>
      <c r="L303" s="10"/>
      <c r="M303" s="14" t="str">
        <f>IF(C303="","",LOWER(Codes!$B$4&amp;"-"&amp;G303&amp;IF(H303="","","-"&amp;H303)&amp;"-"&amp;C303&amp;"-"&amp;I303&amp;IF(J303="","","-"&amp;J303)&amp;"-"&amp;IF(L303="","01",TEXT(L303,"00"))))</f>
        <v/>
      </c>
      <c r="N303" s="15" t="str">
        <f>IF(C303="","",IF(ISNA(MATCH(C303,Codes!$J$8:$J$117,0)),"Unknown type code",IF(OR(G303="",I303=""),"Env and app required",IF(AND(VLOOKUP(C303,Codes!$J$8:$O$117,4,FALSE)="Global",H303&lt;&gt;""),"Global type: leave region blank",IF(AND(VLOOKUP(C303,Codes!$J$8:$O$117,4,FALSE)&lt;&gt;"Global",H303=""),"Region required",IF(AND(VLOOKUP(C303,Codes!$J$8:$O$117,5,FALSE)="Required",J303=""),"Qualifier required",IF(AND(VLOOKUP(C303,Codes!$J$8:$O$117,5,FALSE)="None",J303&lt;&gt;""),"This type takes no qualifier",IF(AND(J303&lt;&gt;"",VLOOKUP(C303,Codes!$J$8:$O$117,6,FALSE)&lt;&gt;"-",ISERROR(SEARCH(", "&amp;J303&amp;",",", "&amp;VLOOKUP(C303,Codes!$J$8:$O$117,6,FALSE)&amp;","))),"Qualifier not in allowed list",IF(COUNTIF($M$5:$M$304,M303)&gt;1,"Duplicate name","OK")))))))))</f>
        <v/>
      </c>
      <c r="O303" s="10"/>
      <c r="P303" s="10"/>
      <c r="Q303" s="10"/>
    </row>
    <row r="304" spans="1:17" x14ac:dyDescent="0.25">
      <c r="A304" s="10"/>
      <c r="B304" s="10"/>
      <c r="C304" s="10"/>
      <c r="D304" s="15" t="str">
        <f>IF(C304="","",IFERROR(VLOOKUP(C304,Codes!$J$8:$O$117,2,FALSE),"Unknown type"))</f>
        <v/>
      </c>
      <c r="E304" s="10"/>
      <c r="F304" s="10"/>
      <c r="G304" s="10"/>
      <c r="H304" s="10"/>
      <c r="I304" s="10"/>
      <c r="J304" s="10"/>
      <c r="K304" s="16" t="str">
        <f>IF(C304="","",IFERROR(VLOOKUP(C304,Codes!$J$8:$O$117,6,FALSE),""))</f>
        <v/>
      </c>
      <c r="L304" s="10"/>
      <c r="M304" s="14" t="str">
        <f>IF(C304="","",LOWER(Codes!$B$4&amp;"-"&amp;G304&amp;IF(H304="","","-"&amp;H304)&amp;"-"&amp;C304&amp;"-"&amp;I304&amp;IF(J304="","","-"&amp;J304)&amp;"-"&amp;IF(L304="","01",TEXT(L304,"00"))))</f>
        <v/>
      </c>
      <c r="N304" s="15" t="str">
        <f>IF(C304="","",IF(ISNA(MATCH(C304,Codes!$J$8:$J$117,0)),"Unknown type code",IF(OR(G304="",I304=""),"Env and app required",IF(AND(VLOOKUP(C304,Codes!$J$8:$O$117,4,FALSE)="Global",H304&lt;&gt;""),"Global type: leave region blank",IF(AND(VLOOKUP(C304,Codes!$J$8:$O$117,4,FALSE)&lt;&gt;"Global",H304=""),"Region required",IF(AND(VLOOKUP(C304,Codes!$J$8:$O$117,5,FALSE)="Required",J304=""),"Qualifier required",IF(AND(VLOOKUP(C304,Codes!$J$8:$O$117,5,FALSE)="None",J304&lt;&gt;""),"This type takes no qualifier",IF(AND(J304&lt;&gt;"",VLOOKUP(C304,Codes!$J$8:$O$117,6,FALSE)&lt;&gt;"-",ISERROR(SEARCH(", "&amp;J304&amp;",",", "&amp;VLOOKUP(C304,Codes!$J$8:$O$117,6,FALSE)&amp;","))),"Qualifier not in allowed list",IF(COUNTIF($M$5:$M$304,M304)&gt;1,"Duplicate name","OK")))))))))</f>
        <v/>
      </c>
      <c r="O304" s="10"/>
      <c r="P304" s="10"/>
      <c r="Q304" s="10"/>
    </row>
  </sheetData>
  <autoFilter ref="A4:Q304" xr:uid="{6015D3FD-8D37-4768-94DF-44D7EE5F5049}"/>
  <conditionalFormatting sqref="N5:N304">
    <cfRule type="expression" dxfId="1" priority="1" stopIfTrue="1">
      <formula>$N5="OK"</formula>
    </cfRule>
    <cfRule type="expression" dxfId="0" priority="2" stopIfTrue="1">
      <formula>_xludf.AND($N5&lt;&gt;"",$N5&lt;&gt;"OK")</formula>
    </cfRule>
  </conditionalFormatting>
  <dataValidations count="2">
    <dataValidation type="list" allowBlank="1" showInputMessage="1" showErrorMessage="1" sqref="P5:P304" xr:uid="{6C52C0DB-F291-4F7B-BCCD-EBBCFC2C21E7}">
      <formula1>"Draft,Approved,Created"</formula1>
    </dataValidation>
    <dataValidation type="whole" allowBlank="1" showInputMessage="1" showErrorMessage="1" sqref="L5:L304" xr:uid="{384D0109-4A79-41CE-ACB5-6DB5143EFB28}">
      <formula1>1</formula1>
      <formula2>99999999</formula2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10D5A09-504D-4071-B02F-A863C8D62273}">
          <x14:formula1>
            <xm:f>Codes!$J$8:$J$117</xm:f>
          </x14:formula1>
          <xm:sqref>C5:C304</xm:sqref>
        </x14:dataValidation>
        <x14:dataValidation type="list" allowBlank="1" showInputMessage="1" showErrorMessage="1" xr:uid="{DD307232-9C65-4BC9-AADB-4E7C09E69671}">
          <x14:formula1>
            <xm:f>Compartments!$D$7:$D$56</xm:f>
          </x14:formula1>
          <xm:sqref>F5:F304</xm:sqref>
        </x14:dataValidation>
        <x14:dataValidation type="list" allowBlank="1" showInputMessage="1" showErrorMessage="1" xr:uid="{5B6AEFDB-3FD5-491D-86CC-9AD0DC2C3756}">
          <x14:formula1>
            <xm:f>Codes!$A$8:$A$10</xm:f>
          </x14:formula1>
          <xm:sqref>G5:G304</xm:sqref>
        </x14:dataValidation>
        <x14:dataValidation type="list" allowBlank="1" showInputMessage="1" showErrorMessage="1" xr:uid="{E7160C7D-4E1D-446B-946D-7790C91B29AB}">
          <x14:formula1>
            <xm:f>Codes!$D$8:$D$9</xm:f>
          </x14:formula1>
          <xm:sqref>H5:H304</xm:sqref>
        </x14:dataValidation>
        <x14:dataValidation type="list" allowBlank="1" showInputMessage="1" showErrorMessage="1" xr:uid="{8FA9AD51-77B0-4767-BC10-D6B633007191}">
          <x14:formula1>
            <xm:f>Codes!$G$8:$G$40</xm:f>
          </x14:formula1>
          <xm:sqref>I5:I304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EC86A-BE22-4CC0-B017-484DEF1BF87A}">
  <dimension ref="A1:F56"/>
  <sheetViews>
    <sheetView showGridLines="0" workbookViewId="0">
      <pane ySplit="6" topLeftCell="A7" activePane="bottomLeft" state="frozenSplit"/>
      <selection pane="bottomLeft"/>
    </sheetView>
  </sheetViews>
  <sheetFormatPr baseColWidth="10" defaultRowHeight="13.2" x14ac:dyDescent="0.25"/>
  <cols>
    <col min="1" max="1" width="8.77734375" style="1" customWidth="1"/>
    <col min="2" max="2" width="22.77734375" style="1" customWidth="1"/>
    <col min="3" max="3" width="10.77734375" style="1" customWidth="1"/>
    <col min="4" max="4" width="26.77734375" style="1" customWidth="1"/>
    <col min="5" max="5" width="48.77734375" style="1" customWidth="1"/>
    <col min="6" max="6" width="28.77734375" style="1" customWidth="1"/>
    <col min="7" max="16384" width="11.5546875" style="1"/>
  </cols>
  <sheetData>
    <row r="1" spans="1:6" ht="17.399999999999999" x14ac:dyDescent="0.3">
      <c r="A1" s="2" t="s">
        <v>293</v>
      </c>
    </row>
    <row r="2" spans="1:6" x14ac:dyDescent="0.25">
      <c r="A2" s="4" t="s">
        <v>294</v>
      </c>
    </row>
    <row r="4" spans="1:6" x14ac:dyDescent="0.25">
      <c r="A4" s="5" t="s">
        <v>295</v>
      </c>
      <c r="D4" s="10"/>
      <c r="E4" s="3" t="s">
        <v>296</v>
      </c>
    </row>
    <row r="6" spans="1:6" ht="39.6" x14ac:dyDescent="0.25">
      <c r="A6" s="8" t="s">
        <v>297</v>
      </c>
      <c r="B6" s="8" t="s">
        <v>298</v>
      </c>
      <c r="C6" s="8" t="s">
        <v>299</v>
      </c>
      <c r="D6" s="8" t="s">
        <v>300</v>
      </c>
      <c r="E6" s="8" t="s">
        <v>301</v>
      </c>
      <c r="F6" s="8" t="s">
        <v>302</v>
      </c>
    </row>
    <row r="7" spans="1:6" x14ac:dyDescent="0.25">
      <c r="A7" s="10">
        <v>1</v>
      </c>
      <c r="B7" s="10"/>
      <c r="C7" s="10" t="s">
        <v>3</v>
      </c>
      <c r="D7" s="14" t="str">
        <f t="shared" ref="D7:D38" si="0">IF(C7="","",IF(B7="",C7,B7&amp;"-"&amp;C7))</f>
        <v>cmr</v>
      </c>
      <c r="E7" s="10"/>
      <c r="F7" s="15" t="str">
        <f t="shared" ref="F7:F38" si="1">IF(C7="","",IF(OR(LEN(C7)&lt;2,LEN(C7)&gt;5),"Segment must be 2-5 characters",IF(NOT(EXACT(C7,LOWER(C7))),"Lowercase only",IF(COUNTIF($D$7:$D$56,D7)&gt;1,"Duplicate","OK"))))</f>
        <v>OK</v>
      </c>
    </row>
    <row r="8" spans="1:6" x14ac:dyDescent="0.25">
      <c r="A8" s="10">
        <v>2</v>
      </c>
      <c r="B8" s="10" t="s">
        <v>3</v>
      </c>
      <c r="C8" s="10" t="s">
        <v>29</v>
      </c>
      <c r="D8" s="14" t="str">
        <f t="shared" si="0"/>
        <v>cmr-soc</v>
      </c>
      <c r="E8" s="10"/>
      <c r="F8" s="15" t="str">
        <f t="shared" si="1"/>
        <v>OK</v>
      </c>
    </row>
    <row r="9" spans="1:6" x14ac:dyDescent="0.25">
      <c r="A9" s="10">
        <v>2</v>
      </c>
      <c r="B9" s="10" t="s">
        <v>3</v>
      </c>
      <c r="C9" s="10" t="s">
        <v>244</v>
      </c>
      <c r="D9" s="14" t="str">
        <f t="shared" si="0"/>
        <v>cmr-log</v>
      </c>
      <c r="E9" s="10"/>
      <c r="F9" s="15" t="str">
        <f t="shared" si="1"/>
        <v>OK</v>
      </c>
    </row>
    <row r="10" spans="1:6" x14ac:dyDescent="0.25">
      <c r="A10" s="10">
        <v>2</v>
      </c>
      <c r="B10" s="10" t="s">
        <v>3</v>
      </c>
      <c r="C10" s="10" t="s">
        <v>27</v>
      </c>
      <c r="D10" s="14" t="str">
        <f t="shared" si="0"/>
        <v>cmr-net</v>
      </c>
      <c r="E10" s="10"/>
      <c r="F10" s="15" t="str">
        <f t="shared" si="1"/>
        <v>OK</v>
      </c>
    </row>
    <row r="11" spans="1:6" x14ac:dyDescent="0.25">
      <c r="A11" s="10">
        <v>2</v>
      </c>
      <c r="B11" s="10" t="s">
        <v>3</v>
      </c>
      <c r="C11" s="10" t="s">
        <v>303</v>
      </c>
      <c r="D11" s="14" t="str">
        <f t="shared" si="0"/>
        <v>cmr-plat</v>
      </c>
      <c r="E11" s="10"/>
      <c r="F11" s="15" t="str">
        <f t="shared" si="1"/>
        <v>OK</v>
      </c>
    </row>
    <row r="12" spans="1:6" x14ac:dyDescent="0.25">
      <c r="A12" s="10">
        <v>2</v>
      </c>
      <c r="B12" s="10" t="s">
        <v>3</v>
      </c>
      <c r="C12" s="10" t="s">
        <v>304</v>
      </c>
      <c r="D12" s="14" t="str">
        <f t="shared" si="0"/>
        <v>cmr-cyv</v>
      </c>
      <c r="E12" s="10"/>
      <c r="F12" s="15" t="str">
        <f t="shared" si="1"/>
        <v>OK</v>
      </c>
    </row>
    <row r="13" spans="1:6" x14ac:dyDescent="0.25">
      <c r="A13" s="10">
        <v>2</v>
      </c>
      <c r="B13" s="10" t="s">
        <v>3</v>
      </c>
      <c r="C13" s="10" t="s">
        <v>14</v>
      </c>
      <c r="D13" s="14" t="str">
        <f t="shared" si="0"/>
        <v>cmr-prd</v>
      </c>
      <c r="E13" s="10"/>
      <c r="F13" s="15" t="str">
        <f t="shared" si="1"/>
        <v>OK</v>
      </c>
    </row>
    <row r="14" spans="1:6" x14ac:dyDescent="0.25">
      <c r="A14" s="10">
        <v>3</v>
      </c>
      <c r="B14" s="10" t="s">
        <v>305</v>
      </c>
      <c r="C14" s="10" t="s">
        <v>27</v>
      </c>
      <c r="D14" s="14" t="str">
        <f t="shared" si="0"/>
        <v>cmr-prd-net</v>
      </c>
      <c r="E14" s="10"/>
      <c r="F14" s="15" t="str">
        <f t="shared" si="1"/>
        <v>OK</v>
      </c>
    </row>
    <row r="15" spans="1:6" x14ac:dyDescent="0.25">
      <c r="A15" s="10">
        <v>3</v>
      </c>
      <c r="B15" s="10" t="s">
        <v>305</v>
      </c>
      <c r="C15" s="10" t="s">
        <v>21</v>
      </c>
      <c r="D15" s="14" t="str">
        <f t="shared" si="0"/>
        <v>cmr-prd-cbs</v>
      </c>
      <c r="E15" s="10"/>
      <c r="F15" s="15" t="str">
        <f t="shared" si="1"/>
        <v>OK</v>
      </c>
    </row>
    <row r="16" spans="1:6" x14ac:dyDescent="0.25">
      <c r="A16" s="10">
        <v>3</v>
      </c>
      <c r="B16" s="10" t="s">
        <v>305</v>
      </c>
      <c r="C16" s="10" t="s">
        <v>23</v>
      </c>
      <c r="D16" s="14" t="str">
        <f t="shared" si="0"/>
        <v>cmr-prd-pay</v>
      </c>
      <c r="E16" s="10"/>
      <c r="F16" s="15" t="str">
        <f t="shared" si="1"/>
        <v>OK</v>
      </c>
    </row>
    <row r="17" spans="1:6" x14ac:dyDescent="0.25">
      <c r="A17" s="10">
        <v>2</v>
      </c>
      <c r="B17" s="10" t="s">
        <v>3</v>
      </c>
      <c r="C17" s="10" t="s">
        <v>306</v>
      </c>
      <c r="D17" s="14" t="str">
        <f t="shared" si="0"/>
        <v>cmr-npd</v>
      </c>
      <c r="E17" s="10"/>
      <c r="F17" s="15" t="str">
        <f t="shared" si="1"/>
        <v>OK</v>
      </c>
    </row>
    <row r="18" spans="1:6" x14ac:dyDescent="0.25">
      <c r="A18" s="10">
        <v>3</v>
      </c>
      <c r="B18" s="10" t="s">
        <v>307</v>
      </c>
      <c r="C18" s="10" t="s">
        <v>27</v>
      </c>
      <c r="D18" s="14" t="str">
        <f t="shared" si="0"/>
        <v>cmr-npd-net</v>
      </c>
      <c r="E18" s="10"/>
      <c r="F18" s="15" t="str">
        <f t="shared" si="1"/>
        <v>OK</v>
      </c>
    </row>
    <row r="19" spans="1:6" x14ac:dyDescent="0.25">
      <c r="A19" s="10">
        <v>3</v>
      </c>
      <c r="B19" s="10" t="s">
        <v>307</v>
      </c>
      <c r="C19" s="10" t="s">
        <v>21</v>
      </c>
      <c r="D19" s="14" t="str">
        <f t="shared" si="0"/>
        <v>cmr-npd-cbs</v>
      </c>
      <c r="E19" s="10"/>
      <c r="F19" s="15" t="str">
        <f t="shared" si="1"/>
        <v>OK</v>
      </c>
    </row>
    <row r="20" spans="1:6" x14ac:dyDescent="0.25">
      <c r="A20" s="10">
        <v>3</v>
      </c>
      <c r="B20" s="10" t="s">
        <v>307</v>
      </c>
      <c r="C20" s="10" t="s">
        <v>23</v>
      </c>
      <c r="D20" s="14" t="str">
        <f t="shared" si="0"/>
        <v>cmr-npd-pay</v>
      </c>
      <c r="E20" s="10"/>
      <c r="F20" s="15" t="str">
        <f t="shared" si="1"/>
        <v>OK</v>
      </c>
    </row>
    <row r="21" spans="1:6" x14ac:dyDescent="0.25">
      <c r="A21" s="10"/>
      <c r="B21" s="10"/>
      <c r="C21" s="10"/>
      <c r="D21" s="14" t="str">
        <f t="shared" si="0"/>
        <v/>
      </c>
      <c r="E21" s="10"/>
      <c r="F21" s="15" t="str">
        <f t="shared" si="1"/>
        <v/>
      </c>
    </row>
    <row r="22" spans="1:6" x14ac:dyDescent="0.25">
      <c r="A22" s="10"/>
      <c r="B22" s="10"/>
      <c r="C22" s="10"/>
      <c r="D22" s="14" t="str">
        <f t="shared" si="0"/>
        <v/>
      </c>
      <c r="E22" s="10"/>
      <c r="F22" s="15" t="str">
        <f t="shared" si="1"/>
        <v/>
      </c>
    </row>
    <row r="23" spans="1:6" x14ac:dyDescent="0.25">
      <c r="A23" s="10"/>
      <c r="B23" s="10"/>
      <c r="C23" s="10"/>
      <c r="D23" s="14" t="str">
        <f t="shared" si="0"/>
        <v/>
      </c>
      <c r="E23" s="10"/>
      <c r="F23" s="15" t="str">
        <f t="shared" si="1"/>
        <v/>
      </c>
    </row>
    <row r="24" spans="1:6" x14ac:dyDescent="0.25">
      <c r="A24" s="10"/>
      <c r="B24" s="10"/>
      <c r="C24" s="10"/>
      <c r="D24" s="14" t="str">
        <f t="shared" si="0"/>
        <v/>
      </c>
      <c r="E24" s="10"/>
      <c r="F24" s="15" t="str">
        <f t="shared" si="1"/>
        <v/>
      </c>
    </row>
    <row r="25" spans="1:6" x14ac:dyDescent="0.25">
      <c r="A25" s="10"/>
      <c r="B25" s="10"/>
      <c r="C25" s="10"/>
      <c r="D25" s="14" t="str">
        <f t="shared" si="0"/>
        <v/>
      </c>
      <c r="E25" s="10"/>
      <c r="F25" s="15" t="str">
        <f t="shared" si="1"/>
        <v/>
      </c>
    </row>
    <row r="26" spans="1:6" x14ac:dyDescent="0.25">
      <c r="A26" s="10"/>
      <c r="B26" s="10"/>
      <c r="C26" s="10"/>
      <c r="D26" s="14" t="str">
        <f t="shared" si="0"/>
        <v/>
      </c>
      <c r="E26" s="10"/>
      <c r="F26" s="15" t="str">
        <f t="shared" si="1"/>
        <v/>
      </c>
    </row>
    <row r="27" spans="1:6" x14ac:dyDescent="0.25">
      <c r="A27" s="10"/>
      <c r="B27" s="10"/>
      <c r="C27" s="10"/>
      <c r="D27" s="14" t="str">
        <f t="shared" si="0"/>
        <v/>
      </c>
      <c r="E27" s="10"/>
      <c r="F27" s="15" t="str">
        <f t="shared" si="1"/>
        <v/>
      </c>
    </row>
    <row r="28" spans="1:6" x14ac:dyDescent="0.25">
      <c r="A28" s="10"/>
      <c r="B28" s="10"/>
      <c r="C28" s="10"/>
      <c r="D28" s="14" t="str">
        <f t="shared" si="0"/>
        <v/>
      </c>
      <c r="E28" s="10"/>
      <c r="F28" s="15" t="str">
        <f t="shared" si="1"/>
        <v/>
      </c>
    </row>
    <row r="29" spans="1:6" x14ac:dyDescent="0.25">
      <c r="A29" s="10"/>
      <c r="B29" s="10"/>
      <c r="C29" s="10"/>
      <c r="D29" s="14" t="str">
        <f t="shared" si="0"/>
        <v/>
      </c>
      <c r="E29" s="10"/>
      <c r="F29" s="15" t="str">
        <f t="shared" si="1"/>
        <v/>
      </c>
    </row>
    <row r="30" spans="1:6" x14ac:dyDescent="0.25">
      <c r="A30" s="10"/>
      <c r="B30" s="10"/>
      <c r="C30" s="10"/>
      <c r="D30" s="14" t="str">
        <f t="shared" si="0"/>
        <v/>
      </c>
      <c r="E30" s="10"/>
      <c r="F30" s="15" t="str">
        <f t="shared" si="1"/>
        <v/>
      </c>
    </row>
    <row r="31" spans="1:6" x14ac:dyDescent="0.25">
      <c r="A31" s="10"/>
      <c r="B31" s="10"/>
      <c r="C31" s="10"/>
      <c r="D31" s="14" t="str">
        <f t="shared" si="0"/>
        <v/>
      </c>
      <c r="E31" s="10"/>
      <c r="F31" s="15" t="str">
        <f t="shared" si="1"/>
        <v/>
      </c>
    </row>
    <row r="32" spans="1:6" x14ac:dyDescent="0.25">
      <c r="A32" s="10"/>
      <c r="B32" s="10"/>
      <c r="C32" s="10"/>
      <c r="D32" s="14" t="str">
        <f t="shared" si="0"/>
        <v/>
      </c>
      <c r="E32" s="10"/>
      <c r="F32" s="15" t="str">
        <f t="shared" si="1"/>
        <v/>
      </c>
    </row>
    <row r="33" spans="1:6" x14ac:dyDescent="0.25">
      <c r="A33" s="10"/>
      <c r="B33" s="10"/>
      <c r="C33" s="10"/>
      <c r="D33" s="14" t="str">
        <f t="shared" si="0"/>
        <v/>
      </c>
      <c r="E33" s="10"/>
      <c r="F33" s="15" t="str">
        <f t="shared" si="1"/>
        <v/>
      </c>
    </row>
    <row r="34" spans="1:6" x14ac:dyDescent="0.25">
      <c r="A34" s="10"/>
      <c r="B34" s="10"/>
      <c r="C34" s="10"/>
      <c r="D34" s="14" t="str">
        <f t="shared" si="0"/>
        <v/>
      </c>
      <c r="E34" s="10"/>
      <c r="F34" s="15" t="str">
        <f t="shared" si="1"/>
        <v/>
      </c>
    </row>
    <row r="35" spans="1:6" x14ac:dyDescent="0.25">
      <c r="A35" s="10"/>
      <c r="B35" s="10"/>
      <c r="C35" s="10"/>
      <c r="D35" s="14" t="str">
        <f t="shared" si="0"/>
        <v/>
      </c>
      <c r="E35" s="10"/>
      <c r="F35" s="15" t="str">
        <f t="shared" si="1"/>
        <v/>
      </c>
    </row>
    <row r="36" spans="1:6" x14ac:dyDescent="0.25">
      <c r="A36" s="10"/>
      <c r="B36" s="10"/>
      <c r="C36" s="10"/>
      <c r="D36" s="14" t="str">
        <f t="shared" si="0"/>
        <v/>
      </c>
      <c r="E36" s="10"/>
      <c r="F36" s="15" t="str">
        <f t="shared" si="1"/>
        <v/>
      </c>
    </row>
    <row r="37" spans="1:6" x14ac:dyDescent="0.25">
      <c r="A37" s="10"/>
      <c r="B37" s="10"/>
      <c r="C37" s="10"/>
      <c r="D37" s="14" t="str">
        <f t="shared" si="0"/>
        <v/>
      </c>
      <c r="E37" s="10"/>
      <c r="F37" s="15" t="str">
        <f t="shared" si="1"/>
        <v/>
      </c>
    </row>
    <row r="38" spans="1:6" x14ac:dyDescent="0.25">
      <c r="A38" s="10"/>
      <c r="B38" s="10"/>
      <c r="C38" s="10"/>
      <c r="D38" s="14" t="str">
        <f t="shared" si="0"/>
        <v/>
      </c>
      <c r="E38" s="10"/>
      <c r="F38" s="15" t="str">
        <f t="shared" si="1"/>
        <v/>
      </c>
    </row>
    <row r="39" spans="1:6" x14ac:dyDescent="0.25">
      <c r="A39" s="10"/>
      <c r="B39" s="10"/>
      <c r="C39" s="10"/>
      <c r="D39" s="14" t="str">
        <f t="shared" ref="D39:D70" si="2">IF(C39="","",IF(B39="",C39,B39&amp;"-"&amp;C39))</f>
        <v/>
      </c>
      <c r="E39" s="10"/>
      <c r="F39" s="15" t="str">
        <f t="shared" ref="F39:F56" si="3">IF(C39="","",IF(OR(LEN(C39)&lt;2,LEN(C39)&gt;5),"Segment must be 2-5 characters",IF(NOT(EXACT(C39,LOWER(C39))),"Lowercase only",IF(COUNTIF($D$7:$D$56,D39)&gt;1,"Duplicate","OK"))))</f>
        <v/>
      </c>
    </row>
    <row r="40" spans="1:6" x14ac:dyDescent="0.25">
      <c r="A40" s="10"/>
      <c r="B40" s="10"/>
      <c r="C40" s="10"/>
      <c r="D40" s="14" t="str">
        <f t="shared" si="2"/>
        <v/>
      </c>
      <c r="E40" s="10"/>
      <c r="F40" s="15" t="str">
        <f t="shared" si="3"/>
        <v/>
      </c>
    </row>
    <row r="41" spans="1:6" x14ac:dyDescent="0.25">
      <c r="A41" s="10"/>
      <c r="B41" s="10"/>
      <c r="C41" s="10"/>
      <c r="D41" s="14" t="str">
        <f t="shared" si="2"/>
        <v/>
      </c>
      <c r="E41" s="10"/>
      <c r="F41" s="15" t="str">
        <f t="shared" si="3"/>
        <v/>
      </c>
    </row>
    <row r="42" spans="1:6" x14ac:dyDescent="0.25">
      <c r="A42" s="10"/>
      <c r="B42" s="10"/>
      <c r="C42" s="10"/>
      <c r="D42" s="14" t="str">
        <f t="shared" si="2"/>
        <v/>
      </c>
      <c r="E42" s="10"/>
      <c r="F42" s="15" t="str">
        <f t="shared" si="3"/>
        <v/>
      </c>
    </row>
    <row r="43" spans="1:6" x14ac:dyDescent="0.25">
      <c r="A43" s="10"/>
      <c r="B43" s="10"/>
      <c r="C43" s="10"/>
      <c r="D43" s="14" t="str">
        <f t="shared" si="2"/>
        <v/>
      </c>
      <c r="E43" s="10"/>
      <c r="F43" s="15" t="str">
        <f t="shared" si="3"/>
        <v/>
      </c>
    </row>
    <row r="44" spans="1:6" x14ac:dyDescent="0.25">
      <c r="A44" s="10"/>
      <c r="B44" s="10"/>
      <c r="C44" s="10"/>
      <c r="D44" s="14" t="str">
        <f t="shared" si="2"/>
        <v/>
      </c>
      <c r="E44" s="10"/>
      <c r="F44" s="15" t="str">
        <f t="shared" si="3"/>
        <v/>
      </c>
    </row>
    <row r="45" spans="1:6" x14ac:dyDescent="0.25">
      <c r="A45" s="10"/>
      <c r="B45" s="10"/>
      <c r="C45" s="10"/>
      <c r="D45" s="14" t="str">
        <f t="shared" si="2"/>
        <v/>
      </c>
      <c r="E45" s="10"/>
      <c r="F45" s="15" t="str">
        <f t="shared" si="3"/>
        <v/>
      </c>
    </row>
    <row r="46" spans="1:6" x14ac:dyDescent="0.25">
      <c r="A46" s="10"/>
      <c r="B46" s="10"/>
      <c r="C46" s="10"/>
      <c r="D46" s="14" t="str">
        <f t="shared" si="2"/>
        <v/>
      </c>
      <c r="E46" s="10"/>
      <c r="F46" s="15" t="str">
        <f t="shared" si="3"/>
        <v/>
      </c>
    </row>
    <row r="47" spans="1:6" x14ac:dyDescent="0.25">
      <c r="A47" s="10"/>
      <c r="B47" s="10"/>
      <c r="C47" s="10"/>
      <c r="D47" s="14" t="str">
        <f t="shared" si="2"/>
        <v/>
      </c>
      <c r="E47" s="10"/>
      <c r="F47" s="15" t="str">
        <f t="shared" si="3"/>
        <v/>
      </c>
    </row>
    <row r="48" spans="1:6" x14ac:dyDescent="0.25">
      <c r="A48" s="10"/>
      <c r="B48" s="10"/>
      <c r="C48" s="10"/>
      <c r="D48" s="14" t="str">
        <f t="shared" si="2"/>
        <v/>
      </c>
      <c r="E48" s="10"/>
      <c r="F48" s="15" t="str">
        <f t="shared" si="3"/>
        <v/>
      </c>
    </row>
    <row r="49" spans="1:6" x14ac:dyDescent="0.25">
      <c r="A49" s="10"/>
      <c r="B49" s="10"/>
      <c r="C49" s="10"/>
      <c r="D49" s="14" t="str">
        <f t="shared" si="2"/>
        <v/>
      </c>
      <c r="E49" s="10"/>
      <c r="F49" s="15" t="str">
        <f t="shared" si="3"/>
        <v/>
      </c>
    </row>
    <row r="50" spans="1:6" x14ac:dyDescent="0.25">
      <c r="A50" s="10"/>
      <c r="B50" s="10"/>
      <c r="C50" s="10"/>
      <c r="D50" s="14" t="str">
        <f t="shared" si="2"/>
        <v/>
      </c>
      <c r="E50" s="10"/>
      <c r="F50" s="15" t="str">
        <f t="shared" si="3"/>
        <v/>
      </c>
    </row>
    <row r="51" spans="1:6" x14ac:dyDescent="0.25">
      <c r="A51" s="10"/>
      <c r="B51" s="10"/>
      <c r="C51" s="10"/>
      <c r="D51" s="14" t="str">
        <f t="shared" si="2"/>
        <v/>
      </c>
      <c r="E51" s="10"/>
      <c r="F51" s="15" t="str">
        <f t="shared" si="3"/>
        <v/>
      </c>
    </row>
    <row r="52" spans="1:6" x14ac:dyDescent="0.25">
      <c r="A52" s="10"/>
      <c r="B52" s="10"/>
      <c r="C52" s="10"/>
      <c r="D52" s="14" t="str">
        <f t="shared" si="2"/>
        <v/>
      </c>
      <c r="E52" s="10"/>
      <c r="F52" s="15" t="str">
        <f t="shared" si="3"/>
        <v/>
      </c>
    </row>
    <row r="53" spans="1:6" x14ac:dyDescent="0.25">
      <c r="A53" s="10"/>
      <c r="B53" s="10"/>
      <c r="C53" s="10"/>
      <c r="D53" s="14" t="str">
        <f t="shared" si="2"/>
        <v/>
      </c>
      <c r="E53" s="10"/>
      <c r="F53" s="15" t="str">
        <f t="shared" si="3"/>
        <v/>
      </c>
    </row>
    <row r="54" spans="1:6" x14ac:dyDescent="0.25">
      <c r="A54" s="10"/>
      <c r="B54" s="10"/>
      <c r="C54" s="10"/>
      <c r="D54" s="14" t="str">
        <f t="shared" si="2"/>
        <v/>
      </c>
      <c r="E54" s="10"/>
      <c r="F54" s="15" t="str">
        <f t="shared" si="3"/>
        <v/>
      </c>
    </row>
    <row r="55" spans="1:6" x14ac:dyDescent="0.25">
      <c r="A55" s="10"/>
      <c r="B55" s="10"/>
      <c r="C55" s="10"/>
      <c r="D55" s="14" t="str">
        <f t="shared" si="2"/>
        <v/>
      </c>
      <c r="E55" s="10"/>
      <c r="F55" s="15" t="str">
        <f t="shared" si="3"/>
        <v/>
      </c>
    </row>
    <row r="56" spans="1:6" x14ac:dyDescent="0.25">
      <c r="A56" s="10"/>
      <c r="B56" s="10"/>
      <c r="C56" s="10"/>
      <c r="D56" s="14" t="str">
        <f t="shared" si="2"/>
        <v/>
      </c>
      <c r="E56" s="10"/>
      <c r="F56" s="15" t="str">
        <f t="shared" si="3"/>
        <v/>
      </c>
    </row>
  </sheetData>
  <dataValidations count="1">
    <dataValidation type="list" allowBlank="1" showInputMessage="1" showErrorMessage="1" sqref="B7:B56" xr:uid="{ADF3B7DB-6A7E-4B8F-835E-1307115A74F7}">
      <formula1>$D$7:$D$56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CAB0E-A603-4632-B9D8-0986F8D7924B}">
  <dimension ref="A1:O117"/>
  <sheetViews>
    <sheetView showGridLines="0" workbookViewId="0"/>
  </sheetViews>
  <sheetFormatPr baseColWidth="10" defaultRowHeight="13.2" x14ac:dyDescent="0.25"/>
  <cols>
    <col min="1" max="1" width="14.77734375" style="1" customWidth="1"/>
    <col min="2" max="2" width="28.77734375" style="1" customWidth="1"/>
    <col min="3" max="3" width="3.77734375" style="1" customWidth="1"/>
    <col min="4" max="4" width="8.77734375" style="1" customWidth="1"/>
    <col min="5" max="5" width="26.77734375" style="1" customWidth="1"/>
    <col min="6" max="6" width="3.77734375" style="1" customWidth="1"/>
    <col min="7" max="7" width="8.77734375" style="1" customWidth="1"/>
    <col min="8" max="8" width="34.77734375" style="1" customWidth="1"/>
    <col min="9" max="9" width="3.77734375" style="1" customWidth="1"/>
    <col min="10" max="10" width="10.77734375" style="1" customWidth="1"/>
    <col min="11" max="11" width="34.77734375" style="1" customWidth="1"/>
    <col min="12" max="12" width="26.77734375" style="1" customWidth="1"/>
    <col min="13" max="14" width="10.77734375" style="1" customWidth="1"/>
    <col min="15" max="15" width="50.77734375" style="1" customWidth="1"/>
    <col min="16" max="16384" width="11.5546875" style="1"/>
  </cols>
  <sheetData>
    <row r="1" spans="1:15" ht="17.399999999999999" x14ac:dyDescent="0.3">
      <c r="A1" s="2" t="s">
        <v>0</v>
      </c>
    </row>
    <row r="2" spans="1:15" x14ac:dyDescent="0.25">
      <c r="A2" s="4" t="s">
        <v>1</v>
      </c>
    </row>
    <row r="4" spans="1:15" x14ac:dyDescent="0.25">
      <c r="A4" s="5" t="s">
        <v>2</v>
      </c>
      <c r="B4" s="6" t="s">
        <v>3</v>
      </c>
    </row>
    <row r="6" spans="1:15" x14ac:dyDescent="0.25">
      <c r="A6" s="12" t="s">
        <v>4</v>
      </c>
      <c r="B6" s="13"/>
      <c r="C6" s="13"/>
      <c r="D6" s="12" t="s">
        <v>5</v>
      </c>
      <c r="E6" s="13"/>
      <c r="F6" s="13"/>
      <c r="G6" s="12" t="s">
        <v>6</v>
      </c>
      <c r="H6" s="13"/>
      <c r="I6" s="13"/>
      <c r="J6" s="12" t="s">
        <v>7</v>
      </c>
      <c r="K6" s="13"/>
      <c r="L6" s="13"/>
      <c r="M6" s="13"/>
      <c r="N6" s="13"/>
      <c r="O6" s="13"/>
    </row>
    <row r="7" spans="1:15" ht="39.6" x14ac:dyDescent="0.25">
      <c r="A7" s="8" t="s">
        <v>8</v>
      </c>
      <c r="B7" s="8" t="s">
        <v>9</v>
      </c>
      <c r="D7" s="8" t="s">
        <v>8</v>
      </c>
      <c r="E7" s="8" t="s">
        <v>16</v>
      </c>
      <c r="G7" s="8" t="s">
        <v>8</v>
      </c>
      <c r="H7" s="8" t="s">
        <v>6</v>
      </c>
      <c r="J7" s="8" t="s">
        <v>35</v>
      </c>
      <c r="K7" s="8" t="s">
        <v>36</v>
      </c>
      <c r="L7" s="8" t="s">
        <v>37</v>
      </c>
      <c r="M7" s="8" t="s">
        <v>38</v>
      </c>
      <c r="N7" s="8" t="s">
        <v>39</v>
      </c>
      <c r="O7" s="8" t="s">
        <v>292</v>
      </c>
    </row>
    <row r="8" spans="1:15" x14ac:dyDescent="0.25">
      <c r="A8" s="9" t="s">
        <v>10</v>
      </c>
      <c r="B8" s="9" t="s">
        <v>11</v>
      </c>
      <c r="D8" s="9" t="s">
        <v>17</v>
      </c>
      <c r="E8" s="9" t="s">
        <v>18</v>
      </c>
      <c r="G8" s="9" t="s">
        <v>21</v>
      </c>
      <c r="H8" s="9" t="s">
        <v>22</v>
      </c>
      <c r="J8" s="11" t="s">
        <v>35</v>
      </c>
      <c r="K8" s="11" t="s">
        <v>36</v>
      </c>
      <c r="L8" s="11" t="s">
        <v>37</v>
      </c>
      <c r="M8" s="11" t="s">
        <v>38</v>
      </c>
      <c r="N8" s="11" t="s">
        <v>39</v>
      </c>
      <c r="O8" s="11" t="s">
        <v>40</v>
      </c>
    </row>
    <row r="9" spans="1:15" x14ac:dyDescent="0.25">
      <c r="A9" s="9" t="s">
        <v>12</v>
      </c>
      <c r="B9" s="9" t="s">
        <v>13</v>
      </c>
      <c r="D9" s="9" t="s">
        <v>19</v>
      </c>
      <c r="E9" s="9" t="s">
        <v>20</v>
      </c>
      <c r="G9" s="9" t="s">
        <v>23</v>
      </c>
      <c r="H9" s="9" t="s">
        <v>24</v>
      </c>
      <c r="J9" s="11" t="s">
        <v>41</v>
      </c>
      <c r="K9" s="11" t="s">
        <v>42</v>
      </c>
      <c r="L9" s="11" t="s">
        <v>43</v>
      </c>
      <c r="M9" s="11" t="s">
        <v>44</v>
      </c>
      <c r="N9" s="11" t="s">
        <v>45</v>
      </c>
      <c r="O9" s="11" t="s">
        <v>46</v>
      </c>
    </row>
    <row r="10" spans="1:15" x14ac:dyDescent="0.25">
      <c r="A10" s="9" t="s">
        <v>14</v>
      </c>
      <c r="B10" s="9" t="s">
        <v>15</v>
      </c>
      <c r="G10" s="9" t="s">
        <v>25</v>
      </c>
      <c r="H10" s="9" t="s">
        <v>26</v>
      </c>
      <c r="J10" s="11" t="s">
        <v>47</v>
      </c>
      <c r="K10" s="11" t="s">
        <v>48</v>
      </c>
      <c r="L10" s="11" t="s">
        <v>43</v>
      </c>
      <c r="M10" s="11" t="s">
        <v>44</v>
      </c>
      <c r="N10" s="11" t="s">
        <v>45</v>
      </c>
      <c r="O10" s="11" t="s">
        <v>46</v>
      </c>
    </row>
    <row r="11" spans="1:15" x14ac:dyDescent="0.25">
      <c r="G11" s="9" t="s">
        <v>27</v>
      </c>
      <c r="H11" s="9" t="s">
        <v>28</v>
      </c>
      <c r="J11" s="11" t="s">
        <v>49</v>
      </c>
      <c r="K11" s="11" t="s">
        <v>50</v>
      </c>
      <c r="L11" s="11" t="s">
        <v>43</v>
      </c>
      <c r="M11" s="11" t="s">
        <v>44</v>
      </c>
      <c r="N11" s="11" t="s">
        <v>45</v>
      </c>
      <c r="O11" s="11" t="s">
        <v>51</v>
      </c>
    </row>
    <row r="12" spans="1:15" x14ac:dyDescent="0.25">
      <c r="G12" s="9" t="s">
        <v>29</v>
      </c>
      <c r="H12" s="9" t="s">
        <v>30</v>
      </c>
      <c r="J12" s="11" t="s">
        <v>52</v>
      </c>
      <c r="K12" s="11" t="s">
        <v>53</v>
      </c>
      <c r="L12" s="11" t="s">
        <v>43</v>
      </c>
      <c r="M12" s="11" t="s">
        <v>44</v>
      </c>
      <c r="N12" s="11" t="s">
        <v>54</v>
      </c>
      <c r="O12" s="11" t="s">
        <v>55</v>
      </c>
    </row>
    <row r="13" spans="1:15" x14ac:dyDescent="0.25">
      <c r="G13" s="9" t="s">
        <v>31</v>
      </c>
      <c r="H13" s="9" t="s">
        <v>32</v>
      </c>
      <c r="J13" s="11" t="s">
        <v>56</v>
      </c>
      <c r="K13" s="11" t="s">
        <v>57</v>
      </c>
      <c r="L13" s="11" t="s">
        <v>43</v>
      </c>
      <c r="M13" s="11" t="s">
        <v>44</v>
      </c>
      <c r="N13" s="11" t="s">
        <v>54</v>
      </c>
      <c r="O13" s="11" t="s">
        <v>55</v>
      </c>
    </row>
    <row r="14" spans="1:15" x14ac:dyDescent="0.25">
      <c r="G14" s="9" t="s">
        <v>33</v>
      </c>
      <c r="H14" s="9" t="s">
        <v>34</v>
      </c>
      <c r="J14" s="11" t="s">
        <v>58</v>
      </c>
      <c r="K14" s="11" t="s">
        <v>59</v>
      </c>
      <c r="L14" s="11" t="s">
        <v>43</v>
      </c>
      <c r="M14" s="11" t="s">
        <v>44</v>
      </c>
      <c r="N14" s="11" t="s">
        <v>54</v>
      </c>
      <c r="O14" s="11" t="s">
        <v>55</v>
      </c>
    </row>
    <row r="15" spans="1:15" x14ac:dyDescent="0.25">
      <c r="G15" s="10"/>
      <c r="H15" s="10"/>
      <c r="J15" s="11" t="s">
        <v>60</v>
      </c>
      <c r="K15" s="11" t="s">
        <v>61</v>
      </c>
      <c r="L15" s="11" t="s">
        <v>43</v>
      </c>
      <c r="M15" s="11" t="s">
        <v>44</v>
      </c>
      <c r="N15" s="11" t="s">
        <v>54</v>
      </c>
      <c r="O15" s="11" t="s">
        <v>55</v>
      </c>
    </row>
    <row r="16" spans="1:15" x14ac:dyDescent="0.25">
      <c r="G16" s="10"/>
      <c r="H16" s="10"/>
      <c r="J16" s="11" t="s">
        <v>62</v>
      </c>
      <c r="K16" s="11" t="s">
        <v>63</v>
      </c>
      <c r="L16" s="11" t="s">
        <v>43</v>
      </c>
      <c r="M16" s="11" t="s">
        <v>44</v>
      </c>
      <c r="N16" s="11" t="s">
        <v>54</v>
      </c>
      <c r="O16" s="11" t="s">
        <v>55</v>
      </c>
    </row>
    <row r="17" spans="7:15" x14ac:dyDescent="0.25">
      <c r="G17" s="10"/>
      <c r="H17" s="10"/>
      <c r="J17" s="11" t="s">
        <v>64</v>
      </c>
      <c r="K17" s="11" t="s">
        <v>65</v>
      </c>
      <c r="L17" s="11" t="s">
        <v>66</v>
      </c>
      <c r="M17" s="11" t="s">
        <v>67</v>
      </c>
      <c r="N17" s="11" t="s">
        <v>54</v>
      </c>
      <c r="O17" s="11" t="s">
        <v>55</v>
      </c>
    </row>
    <row r="18" spans="7:15" x14ac:dyDescent="0.25">
      <c r="G18" s="10"/>
      <c r="H18" s="10"/>
      <c r="J18" s="11" t="s">
        <v>68</v>
      </c>
      <c r="K18" s="11" t="s">
        <v>69</v>
      </c>
      <c r="L18" s="11" t="s">
        <v>66</v>
      </c>
      <c r="M18" s="11" t="s">
        <v>67</v>
      </c>
      <c r="N18" s="11" t="s">
        <v>45</v>
      </c>
      <c r="O18" s="11" t="s">
        <v>70</v>
      </c>
    </row>
    <row r="19" spans="7:15" x14ac:dyDescent="0.25">
      <c r="G19" s="10"/>
      <c r="H19" s="10"/>
      <c r="J19" s="11" t="s">
        <v>71</v>
      </c>
      <c r="K19" s="11" t="s">
        <v>72</v>
      </c>
      <c r="L19" s="11" t="s">
        <v>66</v>
      </c>
      <c r="M19" s="11" t="s">
        <v>67</v>
      </c>
      <c r="N19" s="11" t="s">
        <v>45</v>
      </c>
      <c r="O19" s="11" t="s">
        <v>70</v>
      </c>
    </row>
    <row r="20" spans="7:15" x14ac:dyDescent="0.25">
      <c r="G20" s="10"/>
      <c r="H20" s="10"/>
      <c r="J20" s="11" t="s">
        <v>73</v>
      </c>
      <c r="K20" s="11" t="s">
        <v>74</v>
      </c>
      <c r="L20" s="11" t="s">
        <v>66</v>
      </c>
      <c r="M20" s="11" t="s">
        <v>67</v>
      </c>
      <c r="N20" s="11" t="s">
        <v>45</v>
      </c>
      <c r="O20" s="11" t="s">
        <v>70</v>
      </c>
    </row>
    <row r="21" spans="7:15" x14ac:dyDescent="0.25">
      <c r="G21" s="10"/>
      <c r="H21" s="10"/>
      <c r="J21" s="11" t="s">
        <v>75</v>
      </c>
      <c r="K21" s="11" t="s">
        <v>76</v>
      </c>
      <c r="L21" s="11" t="s">
        <v>66</v>
      </c>
      <c r="M21" s="11" t="s">
        <v>67</v>
      </c>
      <c r="N21" s="11" t="s">
        <v>45</v>
      </c>
      <c r="O21" s="11" t="s">
        <v>77</v>
      </c>
    </row>
    <row r="22" spans="7:15" x14ac:dyDescent="0.25">
      <c r="G22" s="10"/>
      <c r="H22" s="10"/>
      <c r="J22" s="11" t="s">
        <v>78</v>
      </c>
      <c r="K22" s="11" t="s">
        <v>79</v>
      </c>
      <c r="L22" s="11" t="s">
        <v>66</v>
      </c>
      <c r="M22" s="11" t="s">
        <v>67</v>
      </c>
      <c r="N22" s="11" t="s">
        <v>54</v>
      </c>
      <c r="O22" s="11" t="s">
        <v>55</v>
      </c>
    </row>
    <row r="23" spans="7:15" x14ac:dyDescent="0.25">
      <c r="G23" s="10"/>
      <c r="H23" s="10"/>
      <c r="J23" s="11" t="s">
        <v>80</v>
      </c>
      <c r="K23" s="11" t="s">
        <v>81</v>
      </c>
      <c r="L23" s="11" t="s">
        <v>66</v>
      </c>
      <c r="M23" s="11" t="s">
        <v>67</v>
      </c>
      <c r="N23" s="11" t="s">
        <v>54</v>
      </c>
      <c r="O23" s="11" t="s">
        <v>55</v>
      </c>
    </row>
    <row r="24" spans="7:15" x14ac:dyDescent="0.25">
      <c r="G24" s="10"/>
      <c r="H24" s="10"/>
      <c r="J24" s="11" t="s">
        <v>82</v>
      </c>
      <c r="K24" s="11" t="s">
        <v>83</v>
      </c>
      <c r="L24" s="11" t="s">
        <v>66</v>
      </c>
      <c r="M24" s="11" t="s">
        <v>67</v>
      </c>
      <c r="N24" s="11" t="s">
        <v>45</v>
      </c>
      <c r="O24" s="11" t="s">
        <v>84</v>
      </c>
    </row>
    <row r="25" spans="7:15" x14ac:dyDescent="0.25">
      <c r="G25" s="10"/>
      <c r="H25" s="10"/>
      <c r="J25" s="11" t="s">
        <v>85</v>
      </c>
      <c r="K25" s="11" t="s">
        <v>86</v>
      </c>
      <c r="L25" s="11" t="s">
        <v>66</v>
      </c>
      <c r="M25" s="11" t="s">
        <v>67</v>
      </c>
      <c r="N25" s="11" t="s">
        <v>54</v>
      </c>
      <c r="O25" s="11" t="s">
        <v>55</v>
      </c>
    </row>
    <row r="26" spans="7:15" x14ac:dyDescent="0.25">
      <c r="G26" s="10"/>
      <c r="H26" s="10"/>
      <c r="J26" s="11" t="s">
        <v>87</v>
      </c>
      <c r="K26" s="11" t="s">
        <v>88</v>
      </c>
      <c r="L26" s="11" t="s">
        <v>66</v>
      </c>
      <c r="M26" s="11" t="s">
        <v>67</v>
      </c>
      <c r="N26" s="11" t="s">
        <v>54</v>
      </c>
      <c r="O26" s="11" t="s">
        <v>55</v>
      </c>
    </row>
    <row r="27" spans="7:15" x14ac:dyDescent="0.25">
      <c r="G27" s="10"/>
      <c r="H27" s="10"/>
      <c r="J27" s="11" t="s">
        <v>89</v>
      </c>
      <c r="K27" s="11" t="s">
        <v>90</v>
      </c>
      <c r="L27" s="11" t="s">
        <v>66</v>
      </c>
      <c r="M27" s="11" t="s">
        <v>67</v>
      </c>
      <c r="N27" s="11" t="s">
        <v>54</v>
      </c>
      <c r="O27" s="11" t="s">
        <v>55</v>
      </c>
    </row>
    <row r="28" spans="7:15" x14ac:dyDescent="0.25">
      <c r="G28" s="10"/>
      <c r="H28" s="10"/>
      <c r="J28" s="11" t="s">
        <v>91</v>
      </c>
      <c r="K28" s="11" t="s">
        <v>92</v>
      </c>
      <c r="L28" s="11" t="s">
        <v>66</v>
      </c>
      <c r="M28" s="11" t="s">
        <v>67</v>
      </c>
      <c r="N28" s="11" t="s">
        <v>54</v>
      </c>
      <c r="O28" s="11" t="s">
        <v>55</v>
      </c>
    </row>
    <row r="29" spans="7:15" x14ac:dyDescent="0.25">
      <c r="G29" s="10"/>
      <c r="H29" s="10"/>
      <c r="J29" s="11" t="s">
        <v>93</v>
      </c>
      <c r="K29" s="11" t="s">
        <v>94</v>
      </c>
      <c r="L29" s="11" t="s">
        <v>66</v>
      </c>
      <c r="M29" s="11" t="s">
        <v>67</v>
      </c>
      <c r="N29" s="11" t="s">
        <v>54</v>
      </c>
      <c r="O29" s="11" t="s">
        <v>55</v>
      </c>
    </row>
    <row r="30" spans="7:15" x14ac:dyDescent="0.25">
      <c r="G30" s="10"/>
      <c r="H30" s="10"/>
      <c r="J30" s="11" t="s">
        <v>95</v>
      </c>
      <c r="K30" s="11" t="s">
        <v>96</v>
      </c>
      <c r="L30" s="11" t="s">
        <v>66</v>
      </c>
      <c r="M30" s="11" t="s">
        <v>67</v>
      </c>
      <c r="N30" s="11" t="s">
        <v>45</v>
      </c>
      <c r="O30" s="11" t="s">
        <v>97</v>
      </c>
    </row>
    <row r="31" spans="7:15" x14ac:dyDescent="0.25">
      <c r="G31" s="10"/>
      <c r="H31" s="10"/>
      <c r="J31" s="11" t="s">
        <v>98</v>
      </c>
      <c r="K31" s="11" t="s">
        <v>99</v>
      </c>
      <c r="L31" s="11" t="s">
        <v>66</v>
      </c>
      <c r="M31" s="11" t="s">
        <v>67</v>
      </c>
      <c r="N31" s="11" t="s">
        <v>54</v>
      </c>
      <c r="O31" s="11" t="s">
        <v>55</v>
      </c>
    </row>
    <row r="32" spans="7:15" x14ac:dyDescent="0.25">
      <c r="G32" s="10"/>
      <c r="H32" s="10"/>
      <c r="J32" s="11" t="s">
        <v>100</v>
      </c>
      <c r="K32" s="11" t="s">
        <v>101</v>
      </c>
      <c r="L32" s="11" t="s">
        <v>66</v>
      </c>
      <c r="M32" s="11" t="s">
        <v>67</v>
      </c>
      <c r="N32" s="11" t="s">
        <v>54</v>
      </c>
      <c r="O32" s="11" t="s">
        <v>55</v>
      </c>
    </row>
    <row r="33" spans="7:15" x14ac:dyDescent="0.25">
      <c r="G33" s="10"/>
      <c r="H33" s="10"/>
      <c r="J33" s="11" t="s">
        <v>102</v>
      </c>
      <c r="K33" s="11" t="s">
        <v>103</v>
      </c>
      <c r="L33" s="11" t="s">
        <v>66</v>
      </c>
      <c r="M33" s="11" t="s">
        <v>67</v>
      </c>
      <c r="N33" s="11" t="s">
        <v>54</v>
      </c>
      <c r="O33" s="11" t="s">
        <v>55</v>
      </c>
    </row>
    <row r="34" spans="7:15" x14ac:dyDescent="0.25">
      <c r="G34" s="10"/>
      <c r="H34" s="10"/>
      <c r="J34" s="11" t="s">
        <v>104</v>
      </c>
      <c r="K34" s="11" t="s">
        <v>105</v>
      </c>
      <c r="L34" s="11" t="s">
        <v>66</v>
      </c>
      <c r="M34" s="11" t="s">
        <v>67</v>
      </c>
      <c r="N34" s="11" t="s">
        <v>54</v>
      </c>
      <c r="O34" s="11" t="s">
        <v>55</v>
      </c>
    </row>
    <row r="35" spans="7:15" x14ac:dyDescent="0.25">
      <c r="G35" s="10"/>
      <c r="H35" s="10"/>
      <c r="J35" s="11" t="s">
        <v>106</v>
      </c>
      <c r="K35" s="11" t="s">
        <v>107</v>
      </c>
      <c r="L35" s="11" t="s">
        <v>66</v>
      </c>
      <c r="M35" s="11" t="s">
        <v>67</v>
      </c>
      <c r="N35" s="11" t="s">
        <v>45</v>
      </c>
      <c r="O35" s="11" t="s">
        <v>108</v>
      </c>
    </row>
    <row r="36" spans="7:15" x14ac:dyDescent="0.25">
      <c r="G36" s="10"/>
      <c r="H36" s="10"/>
      <c r="J36" s="11" t="s">
        <v>109</v>
      </c>
      <c r="K36" s="11" t="s">
        <v>110</v>
      </c>
      <c r="L36" s="11" t="s">
        <v>66</v>
      </c>
      <c r="M36" s="11" t="s">
        <v>67</v>
      </c>
      <c r="N36" s="11" t="s">
        <v>45</v>
      </c>
      <c r="O36" s="11" t="s">
        <v>108</v>
      </c>
    </row>
    <row r="37" spans="7:15" x14ac:dyDescent="0.25">
      <c r="G37" s="10"/>
      <c r="H37" s="10"/>
      <c r="J37" s="11" t="s">
        <v>111</v>
      </c>
      <c r="K37" s="11" t="s">
        <v>112</v>
      </c>
      <c r="L37" s="11" t="s">
        <v>66</v>
      </c>
      <c r="M37" s="11" t="s">
        <v>67</v>
      </c>
      <c r="N37" s="11" t="s">
        <v>54</v>
      </c>
      <c r="O37" s="11" t="s">
        <v>55</v>
      </c>
    </row>
    <row r="38" spans="7:15" x14ac:dyDescent="0.25">
      <c r="G38" s="10"/>
      <c r="H38" s="10"/>
      <c r="J38" s="11" t="s">
        <v>113</v>
      </c>
      <c r="K38" s="11" t="s">
        <v>114</v>
      </c>
      <c r="L38" s="11" t="s">
        <v>66</v>
      </c>
      <c r="M38" s="11" t="s">
        <v>67</v>
      </c>
      <c r="N38" s="11" t="s">
        <v>54</v>
      </c>
      <c r="O38" s="11" t="s">
        <v>55</v>
      </c>
    </row>
    <row r="39" spans="7:15" x14ac:dyDescent="0.25">
      <c r="G39" s="10"/>
      <c r="H39" s="10"/>
      <c r="J39" s="11" t="s">
        <v>115</v>
      </c>
      <c r="K39" s="11" t="s">
        <v>116</v>
      </c>
      <c r="L39" s="11" t="s">
        <v>66</v>
      </c>
      <c r="M39" s="11" t="s">
        <v>67</v>
      </c>
      <c r="N39" s="11" t="s">
        <v>54</v>
      </c>
      <c r="O39" s="11" t="s">
        <v>55</v>
      </c>
    </row>
    <row r="40" spans="7:15" x14ac:dyDescent="0.25">
      <c r="G40" s="10"/>
      <c r="H40" s="10"/>
      <c r="J40" s="11" t="s">
        <v>117</v>
      </c>
      <c r="K40" s="11" t="s">
        <v>118</v>
      </c>
      <c r="L40" s="11" t="s">
        <v>66</v>
      </c>
      <c r="M40" s="11" t="s">
        <v>67</v>
      </c>
      <c r="N40" s="11" t="s">
        <v>54</v>
      </c>
      <c r="O40" s="11" t="s">
        <v>55</v>
      </c>
    </row>
    <row r="41" spans="7:15" x14ac:dyDescent="0.25">
      <c r="J41" s="11" t="s">
        <v>119</v>
      </c>
      <c r="K41" s="11" t="s">
        <v>120</v>
      </c>
      <c r="L41" s="11" t="s">
        <v>66</v>
      </c>
      <c r="M41" s="11" t="s">
        <v>67</v>
      </c>
      <c r="N41" s="11" t="s">
        <v>54</v>
      </c>
      <c r="O41" s="11" t="s">
        <v>55</v>
      </c>
    </row>
    <row r="42" spans="7:15" x14ac:dyDescent="0.25">
      <c r="J42" s="11" t="s">
        <v>121</v>
      </c>
      <c r="K42" s="11" t="s">
        <v>122</v>
      </c>
      <c r="L42" s="11" t="s">
        <v>66</v>
      </c>
      <c r="M42" s="11" t="s">
        <v>67</v>
      </c>
      <c r="N42" s="11" t="s">
        <v>54</v>
      </c>
      <c r="O42" s="11" t="s">
        <v>55</v>
      </c>
    </row>
    <row r="43" spans="7:15" x14ac:dyDescent="0.25">
      <c r="J43" s="11" t="s">
        <v>123</v>
      </c>
      <c r="K43" s="11" t="s">
        <v>124</v>
      </c>
      <c r="L43" s="11" t="s">
        <v>125</v>
      </c>
      <c r="M43" s="11" t="s">
        <v>67</v>
      </c>
      <c r="N43" s="11" t="s">
        <v>45</v>
      </c>
      <c r="O43" s="11" t="s">
        <v>126</v>
      </c>
    </row>
    <row r="44" spans="7:15" x14ac:dyDescent="0.25">
      <c r="J44" s="11" t="s">
        <v>127</v>
      </c>
      <c r="K44" s="11" t="s">
        <v>128</v>
      </c>
      <c r="L44" s="11" t="s">
        <v>125</v>
      </c>
      <c r="M44" s="11" t="s">
        <v>67</v>
      </c>
      <c r="N44" s="11" t="s">
        <v>45</v>
      </c>
      <c r="O44" s="11" t="s">
        <v>126</v>
      </c>
    </row>
    <row r="45" spans="7:15" x14ac:dyDescent="0.25">
      <c r="J45" s="11" t="s">
        <v>129</v>
      </c>
      <c r="K45" s="11" t="s">
        <v>130</v>
      </c>
      <c r="L45" s="11" t="s">
        <v>125</v>
      </c>
      <c r="M45" s="11" t="s">
        <v>67</v>
      </c>
      <c r="N45" s="11" t="s">
        <v>45</v>
      </c>
      <c r="O45" s="11" t="s">
        <v>126</v>
      </c>
    </row>
    <row r="46" spans="7:15" x14ac:dyDescent="0.25">
      <c r="J46" s="11" t="s">
        <v>131</v>
      </c>
      <c r="K46" s="11" t="s">
        <v>132</v>
      </c>
      <c r="L46" s="11" t="s">
        <v>125</v>
      </c>
      <c r="M46" s="11" t="s">
        <v>67</v>
      </c>
      <c r="N46" s="11" t="s">
        <v>45</v>
      </c>
      <c r="O46" s="11" t="s">
        <v>126</v>
      </c>
    </row>
    <row r="47" spans="7:15" x14ac:dyDescent="0.25">
      <c r="J47" s="11" t="s">
        <v>133</v>
      </c>
      <c r="K47" s="11" t="s">
        <v>134</v>
      </c>
      <c r="L47" s="11" t="s">
        <v>125</v>
      </c>
      <c r="M47" s="11" t="s">
        <v>67</v>
      </c>
      <c r="N47" s="11" t="s">
        <v>54</v>
      </c>
      <c r="O47" s="11" t="s">
        <v>55</v>
      </c>
    </row>
    <row r="48" spans="7:15" x14ac:dyDescent="0.25">
      <c r="J48" s="11" t="s">
        <v>135</v>
      </c>
      <c r="K48" s="11" t="s">
        <v>136</v>
      </c>
      <c r="L48" s="11" t="s">
        <v>125</v>
      </c>
      <c r="M48" s="11" t="s">
        <v>67</v>
      </c>
      <c r="N48" s="11" t="s">
        <v>54</v>
      </c>
      <c r="O48" s="11" t="s">
        <v>55</v>
      </c>
    </row>
    <row r="49" spans="10:15" x14ac:dyDescent="0.25">
      <c r="J49" s="11" t="s">
        <v>137</v>
      </c>
      <c r="K49" s="11" t="s">
        <v>138</v>
      </c>
      <c r="L49" s="11" t="s">
        <v>125</v>
      </c>
      <c r="M49" s="11" t="s">
        <v>67</v>
      </c>
      <c r="N49" s="11" t="s">
        <v>45</v>
      </c>
      <c r="O49" s="11" t="s">
        <v>139</v>
      </c>
    </row>
    <row r="50" spans="10:15" x14ac:dyDescent="0.25">
      <c r="J50" s="11" t="s">
        <v>140</v>
      </c>
      <c r="K50" s="11" t="s">
        <v>141</v>
      </c>
      <c r="L50" s="11" t="s">
        <v>125</v>
      </c>
      <c r="M50" s="11" t="s">
        <v>67</v>
      </c>
      <c r="N50" s="11" t="s">
        <v>54</v>
      </c>
      <c r="O50" s="11" t="s">
        <v>55</v>
      </c>
    </row>
    <row r="51" spans="10:15" x14ac:dyDescent="0.25">
      <c r="J51" s="11" t="s">
        <v>142</v>
      </c>
      <c r="K51" s="11" t="s">
        <v>143</v>
      </c>
      <c r="L51" s="11" t="s">
        <v>125</v>
      </c>
      <c r="M51" s="11" t="s">
        <v>67</v>
      </c>
      <c r="N51" s="11" t="s">
        <v>54</v>
      </c>
      <c r="O51" s="11" t="s">
        <v>55</v>
      </c>
    </row>
    <row r="52" spans="10:15" x14ac:dyDescent="0.25">
      <c r="J52" s="11" t="s">
        <v>144</v>
      </c>
      <c r="K52" s="11" t="s">
        <v>145</v>
      </c>
      <c r="L52" s="11" t="s">
        <v>125</v>
      </c>
      <c r="M52" s="11" t="s">
        <v>67</v>
      </c>
      <c r="N52" s="11" t="s">
        <v>54</v>
      </c>
      <c r="O52" s="11" t="s">
        <v>55</v>
      </c>
    </row>
    <row r="53" spans="10:15" x14ac:dyDescent="0.25">
      <c r="J53" s="11" t="s">
        <v>146</v>
      </c>
      <c r="K53" s="11" t="s">
        <v>147</v>
      </c>
      <c r="L53" s="11" t="s">
        <v>125</v>
      </c>
      <c r="M53" s="11" t="s">
        <v>67</v>
      </c>
      <c r="N53" s="11" t="s">
        <v>54</v>
      </c>
      <c r="O53" s="11" t="s">
        <v>55</v>
      </c>
    </row>
    <row r="54" spans="10:15" x14ac:dyDescent="0.25">
      <c r="J54" s="11" t="s">
        <v>148</v>
      </c>
      <c r="K54" s="11" t="s">
        <v>149</v>
      </c>
      <c r="L54" s="11" t="s">
        <v>125</v>
      </c>
      <c r="M54" s="11" t="s">
        <v>67</v>
      </c>
      <c r="N54" s="11" t="s">
        <v>54</v>
      </c>
      <c r="O54" s="11" t="s">
        <v>55</v>
      </c>
    </row>
    <row r="55" spans="10:15" x14ac:dyDescent="0.25">
      <c r="J55" s="11" t="s">
        <v>150</v>
      </c>
      <c r="K55" s="11" t="s">
        <v>151</v>
      </c>
      <c r="L55" s="11" t="s">
        <v>125</v>
      </c>
      <c r="M55" s="11" t="s">
        <v>67</v>
      </c>
      <c r="N55" s="11" t="s">
        <v>54</v>
      </c>
      <c r="O55" s="11" t="s">
        <v>55</v>
      </c>
    </row>
    <row r="56" spans="10:15" x14ac:dyDescent="0.25">
      <c r="J56" s="11" t="s">
        <v>152</v>
      </c>
      <c r="K56" s="11" t="s">
        <v>153</v>
      </c>
      <c r="L56" s="11" t="s">
        <v>125</v>
      </c>
      <c r="M56" s="11" t="s">
        <v>67</v>
      </c>
      <c r="N56" s="11" t="s">
        <v>54</v>
      </c>
      <c r="O56" s="11" t="s">
        <v>55</v>
      </c>
    </row>
    <row r="57" spans="10:15" x14ac:dyDescent="0.25">
      <c r="J57" s="11" t="s">
        <v>154</v>
      </c>
      <c r="K57" s="11" t="s">
        <v>155</v>
      </c>
      <c r="L57" s="11" t="s">
        <v>125</v>
      </c>
      <c r="M57" s="11" t="s">
        <v>67</v>
      </c>
      <c r="N57" s="11" t="s">
        <v>54</v>
      </c>
      <c r="O57" s="11" t="s">
        <v>55</v>
      </c>
    </row>
    <row r="58" spans="10:15" x14ac:dyDescent="0.25">
      <c r="J58" s="11" t="s">
        <v>156</v>
      </c>
      <c r="K58" s="11" t="s">
        <v>157</v>
      </c>
      <c r="L58" s="11" t="s">
        <v>158</v>
      </c>
      <c r="M58" s="11" t="s">
        <v>67</v>
      </c>
      <c r="N58" s="11" t="s">
        <v>54</v>
      </c>
      <c r="O58" s="11" t="s">
        <v>55</v>
      </c>
    </row>
    <row r="59" spans="10:15" x14ac:dyDescent="0.25">
      <c r="J59" s="11" t="s">
        <v>159</v>
      </c>
      <c r="K59" s="11" t="s">
        <v>160</v>
      </c>
      <c r="L59" s="11" t="s">
        <v>158</v>
      </c>
      <c r="M59" s="11" t="s">
        <v>67</v>
      </c>
      <c r="N59" s="11" t="s">
        <v>54</v>
      </c>
      <c r="O59" s="11" t="s">
        <v>55</v>
      </c>
    </row>
    <row r="60" spans="10:15" x14ac:dyDescent="0.25">
      <c r="J60" s="11" t="s">
        <v>161</v>
      </c>
      <c r="K60" s="11" t="s">
        <v>162</v>
      </c>
      <c r="L60" s="11" t="s">
        <v>158</v>
      </c>
      <c r="M60" s="11" t="s">
        <v>67</v>
      </c>
      <c r="N60" s="11" t="s">
        <v>54</v>
      </c>
      <c r="O60" s="11" t="s">
        <v>55</v>
      </c>
    </row>
    <row r="61" spans="10:15" x14ac:dyDescent="0.25">
      <c r="J61" s="11" t="s">
        <v>163</v>
      </c>
      <c r="K61" s="11" t="s">
        <v>164</v>
      </c>
      <c r="L61" s="11" t="s">
        <v>165</v>
      </c>
      <c r="M61" s="11" t="s">
        <v>67</v>
      </c>
      <c r="N61" s="11" t="s">
        <v>45</v>
      </c>
      <c r="O61" s="11" t="s">
        <v>166</v>
      </c>
    </row>
    <row r="62" spans="10:15" x14ac:dyDescent="0.25">
      <c r="J62" s="11" t="s">
        <v>167</v>
      </c>
      <c r="K62" s="11" t="s">
        <v>168</v>
      </c>
      <c r="L62" s="11" t="s">
        <v>165</v>
      </c>
      <c r="M62" s="11" t="s">
        <v>67</v>
      </c>
      <c r="N62" s="11" t="s">
        <v>54</v>
      </c>
      <c r="O62" s="11" t="s">
        <v>55</v>
      </c>
    </row>
    <row r="63" spans="10:15" x14ac:dyDescent="0.25">
      <c r="J63" s="11" t="s">
        <v>169</v>
      </c>
      <c r="K63" s="11" t="s">
        <v>170</v>
      </c>
      <c r="L63" s="11" t="s">
        <v>165</v>
      </c>
      <c r="M63" s="11" t="s">
        <v>67</v>
      </c>
      <c r="N63" s="11" t="s">
        <v>54</v>
      </c>
      <c r="O63" s="11" t="s">
        <v>55</v>
      </c>
    </row>
    <row r="64" spans="10:15" x14ac:dyDescent="0.25">
      <c r="J64" s="11" t="s">
        <v>171</v>
      </c>
      <c r="K64" s="11" t="s">
        <v>172</v>
      </c>
      <c r="L64" s="11" t="s">
        <v>165</v>
      </c>
      <c r="M64" s="11" t="s">
        <v>67</v>
      </c>
      <c r="N64" s="11" t="s">
        <v>45</v>
      </c>
      <c r="O64" s="11" t="s">
        <v>173</v>
      </c>
    </row>
    <row r="65" spans="10:15" x14ac:dyDescent="0.25">
      <c r="J65" s="11" t="s">
        <v>174</v>
      </c>
      <c r="K65" s="11" t="s">
        <v>175</v>
      </c>
      <c r="L65" s="11" t="s">
        <v>165</v>
      </c>
      <c r="M65" s="11" t="s">
        <v>67</v>
      </c>
      <c r="N65" s="11" t="s">
        <v>54</v>
      </c>
      <c r="O65" s="11" t="s">
        <v>55</v>
      </c>
    </row>
    <row r="66" spans="10:15" x14ac:dyDescent="0.25">
      <c r="J66" s="11" t="s">
        <v>176</v>
      </c>
      <c r="K66" s="11" t="s">
        <v>177</v>
      </c>
      <c r="L66" s="11" t="s">
        <v>165</v>
      </c>
      <c r="M66" s="11" t="s">
        <v>67</v>
      </c>
      <c r="N66" s="11" t="s">
        <v>54</v>
      </c>
      <c r="O66" s="11" t="s">
        <v>55</v>
      </c>
    </row>
    <row r="67" spans="10:15" x14ac:dyDescent="0.25">
      <c r="J67" s="11" t="s">
        <v>178</v>
      </c>
      <c r="K67" s="11" t="s">
        <v>179</v>
      </c>
      <c r="L67" s="11" t="s">
        <v>165</v>
      </c>
      <c r="M67" s="11" t="s">
        <v>67</v>
      </c>
      <c r="N67" s="11" t="s">
        <v>54</v>
      </c>
      <c r="O67" s="11" t="s">
        <v>55</v>
      </c>
    </row>
    <row r="68" spans="10:15" x14ac:dyDescent="0.25">
      <c r="J68" s="11" t="s">
        <v>180</v>
      </c>
      <c r="K68" s="11" t="s">
        <v>181</v>
      </c>
      <c r="L68" s="11" t="s">
        <v>165</v>
      </c>
      <c r="M68" s="11" t="s">
        <v>67</v>
      </c>
      <c r="N68" s="11" t="s">
        <v>45</v>
      </c>
      <c r="O68" s="11" t="s">
        <v>182</v>
      </c>
    </row>
    <row r="69" spans="10:15" x14ac:dyDescent="0.25">
      <c r="J69" s="11" t="s">
        <v>183</v>
      </c>
      <c r="K69" s="11" t="s">
        <v>184</v>
      </c>
      <c r="L69" s="11" t="s">
        <v>165</v>
      </c>
      <c r="M69" s="11" t="s">
        <v>67</v>
      </c>
      <c r="N69" s="11" t="s">
        <v>45</v>
      </c>
      <c r="O69" s="11" t="s">
        <v>182</v>
      </c>
    </row>
    <row r="70" spans="10:15" x14ac:dyDescent="0.25">
      <c r="J70" s="11" t="s">
        <v>185</v>
      </c>
      <c r="K70" s="11" t="s">
        <v>186</v>
      </c>
      <c r="L70" s="11" t="s">
        <v>165</v>
      </c>
      <c r="M70" s="11" t="s">
        <v>67</v>
      </c>
      <c r="N70" s="11" t="s">
        <v>54</v>
      </c>
      <c r="O70" s="11" t="s">
        <v>55</v>
      </c>
    </row>
    <row r="71" spans="10:15" x14ac:dyDescent="0.25">
      <c r="J71" s="11" t="s">
        <v>187</v>
      </c>
      <c r="K71" s="11" t="s">
        <v>188</v>
      </c>
      <c r="L71" s="11" t="s">
        <v>165</v>
      </c>
      <c r="M71" s="11" t="s">
        <v>67</v>
      </c>
      <c r="N71" s="11" t="s">
        <v>54</v>
      </c>
      <c r="O71" s="11" t="s">
        <v>55</v>
      </c>
    </row>
    <row r="72" spans="10:15" x14ac:dyDescent="0.25">
      <c r="J72" s="11" t="s">
        <v>189</v>
      </c>
      <c r="K72" s="11" t="s">
        <v>190</v>
      </c>
      <c r="L72" s="11" t="s">
        <v>165</v>
      </c>
      <c r="M72" s="11" t="s">
        <v>67</v>
      </c>
      <c r="N72" s="11" t="s">
        <v>54</v>
      </c>
      <c r="O72" s="11" t="s">
        <v>55</v>
      </c>
    </row>
    <row r="73" spans="10:15" x14ac:dyDescent="0.25">
      <c r="J73" s="11" t="s">
        <v>191</v>
      </c>
      <c r="K73" s="11" t="s">
        <v>192</v>
      </c>
      <c r="L73" s="11" t="s">
        <v>193</v>
      </c>
      <c r="M73" s="11" t="s">
        <v>67</v>
      </c>
      <c r="N73" s="11" t="s">
        <v>45</v>
      </c>
      <c r="O73" s="11" t="s">
        <v>194</v>
      </c>
    </row>
    <row r="74" spans="10:15" x14ac:dyDescent="0.25">
      <c r="J74" s="11" t="s">
        <v>195</v>
      </c>
      <c r="K74" s="11" t="s">
        <v>196</v>
      </c>
      <c r="L74" s="11" t="s">
        <v>193</v>
      </c>
      <c r="M74" s="11" t="s">
        <v>67</v>
      </c>
      <c r="N74" s="11" t="s">
        <v>54</v>
      </c>
      <c r="O74" s="11" t="s">
        <v>55</v>
      </c>
    </row>
    <row r="75" spans="10:15" x14ac:dyDescent="0.25">
      <c r="J75" s="11" t="s">
        <v>197</v>
      </c>
      <c r="K75" s="11" t="s">
        <v>198</v>
      </c>
      <c r="L75" s="11" t="s">
        <v>193</v>
      </c>
      <c r="M75" s="11" t="s">
        <v>67</v>
      </c>
      <c r="N75" s="11" t="s">
        <v>54</v>
      </c>
      <c r="O75" s="11" t="s">
        <v>55</v>
      </c>
    </row>
    <row r="76" spans="10:15" x14ac:dyDescent="0.25">
      <c r="J76" s="11" t="s">
        <v>199</v>
      </c>
      <c r="K76" s="11" t="s">
        <v>200</v>
      </c>
      <c r="L76" s="11" t="s">
        <v>201</v>
      </c>
      <c r="M76" s="11" t="s">
        <v>67</v>
      </c>
      <c r="N76" s="11" t="s">
        <v>54</v>
      </c>
      <c r="O76" s="11" t="s">
        <v>55</v>
      </c>
    </row>
    <row r="77" spans="10:15" x14ac:dyDescent="0.25">
      <c r="J77" s="11" t="s">
        <v>202</v>
      </c>
      <c r="K77" s="11" t="s">
        <v>203</v>
      </c>
      <c r="L77" s="11" t="s">
        <v>201</v>
      </c>
      <c r="M77" s="11" t="s">
        <v>67</v>
      </c>
      <c r="N77" s="11" t="s">
        <v>45</v>
      </c>
      <c r="O77" s="11" t="s">
        <v>204</v>
      </c>
    </row>
    <row r="78" spans="10:15" x14ac:dyDescent="0.25">
      <c r="J78" s="11" t="s">
        <v>205</v>
      </c>
      <c r="K78" s="11" t="s">
        <v>206</v>
      </c>
      <c r="L78" s="11" t="s">
        <v>201</v>
      </c>
      <c r="M78" s="11" t="s">
        <v>67</v>
      </c>
      <c r="N78" s="11" t="s">
        <v>45</v>
      </c>
      <c r="O78" s="11" t="s">
        <v>207</v>
      </c>
    </row>
    <row r="79" spans="10:15" x14ac:dyDescent="0.25">
      <c r="J79" s="11" t="s">
        <v>208</v>
      </c>
      <c r="K79" s="11" t="s">
        <v>209</v>
      </c>
      <c r="L79" s="11" t="s">
        <v>201</v>
      </c>
      <c r="M79" s="11" t="s">
        <v>67</v>
      </c>
      <c r="N79" s="11" t="s">
        <v>54</v>
      </c>
      <c r="O79" s="11" t="s">
        <v>55</v>
      </c>
    </row>
    <row r="80" spans="10:15" x14ac:dyDescent="0.25">
      <c r="J80" s="11" t="s">
        <v>210</v>
      </c>
      <c r="K80" s="11" t="s">
        <v>211</v>
      </c>
      <c r="L80" s="11" t="s">
        <v>201</v>
      </c>
      <c r="M80" s="11" t="s">
        <v>67</v>
      </c>
      <c r="N80" s="11" t="s">
        <v>54</v>
      </c>
      <c r="O80" s="11" t="s">
        <v>55</v>
      </c>
    </row>
    <row r="81" spans="10:15" x14ac:dyDescent="0.25">
      <c r="J81" s="11" t="s">
        <v>212</v>
      </c>
      <c r="K81" s="11" t="s">
        <v>213</v>
      </c>
      <c r="L81" s="11" t="s">
        <v>201</v>
      </c>
      <c r="M81" s="11" t="s">
        <v>67</v>
      </c>
      <c r="N81" s="11" t="s">
        <v>54</v>
      </c>
      <c r="O81" s="11" t="s">
        <v>55</v>
      </c>
    </row>
    <row r="82" spans="10:15" x14ac:dyDescent="0.25">
      <c r="J82" s="11" t="s">
        <v>214</v>
      </c>
      <c r="K82" s="11" t="s">
        <v>215</v>
      </c>
      <c r="L82" s="11" t="s">
        <v>201</v>
      </c>
      <c r="M82" s="11" t="s">
        <v>67</v>
      </c>
      <c r="N82" s="11" t="s">
        <v>45</v>
      </c>
      <c r="O82" s="11" t="s">
        <v>108</v>
      </c>
    </row>
    <row r="83" spans="10:15" x14ac:dyDescent="0.25">
      <c r="J83" s="11" t="s">
        <v>216</v>
      </c>
      <c r="K83" s="11" t="s">
        <v>217</v>
      </c>
      <c r="L83" s="11" t="s">
        <v>201</v>
      </c>
      <c r="M83" s="11" t="s">
        <v>67</v>
      </c>
      <c r="N83" s="11" t="s">
        <v>54</v>
      </c>
      <c r="O83" s="11" t="s">
        <v>55</v>
      </c>
    </row>
    <row r="84" spans="10:15" x14ac:dyDescent="0.25">
      <c r="J84" s="11" t="s">
        <v>218</v>
      </c>
      <c r="K84" s="11" t="s">
        <v>219</v>
      </c>
      <c r="L84" s="11" t="s">
        <v>220</v>
      </c>
      <c r="M84" s="11" t="s">
        <v>67</v>
      </c>
      <c r="N84" s="11" t="s">
        <v>45</v>
      </c>
      <c r="O84" s="11" t="s">
        <v>108</v>
      </c>
    </row>
    <row r="85" spans="10:15" x14ac:dyDescent="0.25">
      <c r="J85" s="11" t="s">
        <v>221</v>
      </c>
      <c r="K85" s="11" t="s">
        <v>222</v>
      </c>
      <c r="L85" s="11" t="s">
        <v>220</v>
      </c>
      <c r="M85" s="11" t="s">
        <v>67</v>
      </c>
      <c r="N85" s="11" t="s">
        <v>54</v>
      </c>
      <c r="O85" s="11" t="s">
        <v>55</v>
      </c>
    </row>
    <row r="86" spans="10:15" x14ac:dyDescent="0.25">
      <c r="J86" s="11" t="s">
        <v>223</v>
      </c>
      <c r="K86" s="11" t="s">
        <v>224</v>
      </c>
      <c r="L86" s="11" t="s">
        <v>220</v>
      </c>
      <c r="M86" s="11" t="s">
        <v>67</v>
      </c>
      <c r="N86" s="11" t="s">
        <v>54</v>
      </c>
      <c r="O86" s="11" t="s">
        <v>55</v>
      </c>
    </row>
    <row r="87" spans="10:15" x14ac:dyDescent="0.25">
      <c r="J87" s="11" t="s">
        <v>225</v>
      </c>
      <c r="K87" s="11" t="s">
        <v>226</v>
      </c>
      <c r="L87" s="11" t="s">
        <v>220</v>
      </c>
      <c r="M87" s="11" t="s">
        <v>67</v>
      </c>
      <c r="N87" s="11" t="s">
        <v>54</v>
      </c>
      <c r="O87" s="11" t="s">
        <v>55</v>
      </c>
    </row>
    <row r="88" spans="10:15" x14ac:dyDescent="0.25">
      <c r="J88" s="11" t="s">
        <v>227</v>
      </c>
      <c r="K88" s="11" t="s">
        <v>228</v>
      </c>
      <c r="L88" s="11" t="s">
        <v>220</v>
      </c>
      <c r="M88" s="11" t="s">
        <v>67</v>
      </c>
      <c r="N88" s="11" t="s">
        <v>54</v>
      </c>
      <c r="O88" s="11" t="s">
        <v>55</v>
      </c>
    </row>
    <row r="89" spans="10:15" x14ac:dyDescent="0.25">
      <c r="J89" s="11" t="s">
        <v>229</v>
      </c>
      <c r="K89" s="11" t="s">
        <v>230</v>
      </c>
      <c r="L89" s="11" t="s">
        <v>220</v>
      </c>
      <c r="M89" s="11" t="s">
        <v>67</v>
      </c>
      <c r="N89" s="11" t="s">
        <v>54</v>
      </c>
      <c r="O89" s="11" t="s">
        <v>55</v>
      </c>
    </row>
    <row r="90" spans="10:15" x14ac:dyDescent="0.25">
      <c r="J90" s="11" t="s">
        <v>231</v>
      </c>
      <c r="K90" s="11" t="s">
        <v>232</v>
      </c>
      <c r="L90" s="11" t="s">
        <v>220</v>
      </c>
      <c r="M90" s="11" t="s">
        <v>67</v>
      </c>
      <c r="N90" s="11" t="s">
        <v>54</v>
      </c>
      <c r="O90" s="11" t="s">
        <v>55</v>
      </c>
    </row>
    <row r="91" spans="10:15" x14ac:dyDescent="0.25">
      <c r="J91" s="11" t="s">
        <v>233</v>
      </c>
      <c r="K91" s="11" t="s">
        <v>234</v>
      </c>
      <c r="L91" s="11" t="s">
        <v>220</v>
      </c>
      <c r="M91" s="11" t="s">
        <v>67</v>
      </c>
      <c r="N91" s="11" t="s">
        <v>54</v>
      </c>
      <c r="O91" s="11" t="s">
        <v>55</v>
      </c>
    </row>
    <row r="92" spans="10:15" x14ac:dyDescent="0.25">
      <c r="J92" s="11" t="s">
        <v>235</v>
      </c>
      <c r="K92" s="11" t="s">
        <v>236</v>
      </c>
      <c r="L92" s="11" t="s">
        <v>220</v>
      </c>
      <c r="M92" s="11" t="s">
        <v>67</v>
      </c>
      <c r="N92" s="11" t="s">
        <v>54</v>
      </c>
      <c r="O92" s="11" t="s">
        <v>55</v>
      </c>
    </row>
    <row r="93" spans="10:15" x14ac:dyDescent="0.25">
      <c r="J93" s="11" t="s">
        <v>237</v>
      </c>
      <c r="K93" s="11" t="s">
        <v>238</v>
      </c>
      <c r="L93" s="11" t="s">
        <v>220</v>
      </c>
      <c r="M93" s="11" t="s">
        <v>67</v>
      </c>
      <c r="N93" s="11" t="s">
        <v>54</v>
      </c>
      <c r="O93" s="11" t="s">
        <v>55</v>
      </c>
    </row>
    <row r="94" spans="10:15" x14ac:dyDescent="0.25">
      <c r="J94" s="11" t="s">
        <v>239</v>
      </c>
      <c r="K94" s="11" t="s">
        <v>240</v>
      </c>
      <c r="L94" s="11" t="s">
        <v>220</v>
      </c>
      <c r="M94" s="11" t="s">
        <v>67</v>
      </c>
      <c r="N94" s="11" t="s">
        <v>54</v>
      </c>
      <c r="O94" s="11" t="s">
        <v>55</v>
      </c>
    </row>
    <row r="95" spans="10:15" x14ac:dyDescent="0.25">
      <c r="J95" s="11" t="s">
        <v>241</v>
      </c>
      <c r="K95" s="11" t="s">
        <v>242</v>
      </c>
      <c r="L95" s="11" t="s">
        <v>243</v>
      </c>
      <c r="M95" s="11" t="s">
        <v>67</v>
      </c>
      <c r="N95" s="11" t="s">
        <v>54</v>
      </c>
      <c r="O95" s="11" t="s">
        <v>55</v>
      </c>
    </row>
    <row r="96" spans="10:15" x14ac:dyDescent="0.25">
      <c r="J96" s="11" t="s">
        <v>244</v>
      </c>
      <c r="K96" s="11" t="s">
        <v>245</v>
      </c>
      <c r="L96" s="11" t="s">
        <v>243</v>
      </c>
      <c r="M96" s="11" t="s">
        <v>67</v>
      </c>
      <c r="N96" s="11" t="s">
        <v>45</v>
      </c>
      <c r="O96" s="11" t="s">
        <v>246</v>
      </c>
    </row>
    <row r="97" spans="10:15" x14ac:dyDescent="0.25">
      <c r="J97" s="11" t="s">
        <v>247</v>
      </c>
      <c r="K97" s="11" t="s">
        <v>248</v>
      </c>
      <c r="L97" s="11" t="s">
        <v>243</v>
      </c>
      <c r="M97" s="11" t="s">
        <v>67</v>
      </c>
      <c r="N97" s="11" t="s">
        <v>45</v>
      </c>
      <c r="O97" s="11" t="s">
        <v>249</v>
      </c>
    </row>
    <row r="98" spans="10:15" x14ac:dyDescent="0.25">
      <c r="J98" s="11" t="s">
        <v>250</v>
      </c>
      <c r="K98" s="11" t="s">
        <v>251</v>
      </c>
      <c r="L98" s="11" t="s">
        <v>243</v>
      </c>
      <c r="M98" s="11" t="s">
        <v>67</v>
      </c>
      <c r="N98" s="11" t="s">
        <v>54</v>
      </c>
      <c r="O98" s="11" t="s">
        <v>55</v>
      </c>
    </row>
    <row r="99" spans="10:15" x14ac:dyDescent="0.25">
      <c r="J99" s="11" t="s">
        <v>252</v>
      </c>
      <c r="K99" s="11" t="s">
        <v>253</v>
      </c>
      <c r="L99" s="11" t="s">
        <v>243</v>
      </c>
      <c r="M99" s="11" t="s">
        <v>67</v>
      </c>
      <c r="N99" s="11" t="s">
        <v>54</v>
      </c>
      <c r="O99" s="11" t="s">
        <v>55</v>
      </c>
    </row>
    <row r="100" spans="10:15" x14ac:dyDescent="0.25">
      <c r="J100" s="11" t="s">
        <v>254</v>
      </c>
      <c r="K100" s="11" t="s">
        <v>255</v>
      </c>
      <c r="L100" s="11" t="s">
        <v>243</v>
      </c>
      <c r="M100" s="11" t="s">
        <v>67</v>
      </c>
      <c r="N100" s="11" t="s">
        <v>54</v>
      </c>
      <c r="O100" s="11" t="s">
        <v>55</v>
      </c>
    </row>
    <row r="101" spans="10:15" x14ac:dyDescent="0.25">
      <c r="J101" s="11" t="s">
        <v>256</v>
      </c>
      <c r="K101" s="11" t="s">
        <v>257</v>
      </c>
      <c r="L101" s="11" t="s">
        <v>243</v>
      </c>
      <c r="M101" s="11" t="s">
        <v>67</v>
      </c>
      <c r="N101" s="11" t="s">
        <v>54</v>
      </c>
      <c r="O101" s="11" t="s">
        <v>55</v>
      </c>
    </row>
    <row r="102" spans="10:15" x14ac:dyDescent="0.25">
      <c r="J102" s="11" t="s">
        <v>258</v>
      </c>
      <c r="K102" s="11" t="s">
        <v>259</v>
      </c>
      <c r="L102" s="11" t="s">
        <v>260</v>
      </c>
      <c r="M102" s="11" t="s">
        <v>67</v>
      </c>
      <c r="N102" s="11" t="s">
        <v>54</v>
      </c>
      <c r="O102" s="11" t="s">
        <v>55</v>
      </c>
    </row>
    <row r="103" spans="10:15" x14ac:dyDescent="0.25">
      <c r="J103" s="11" t="s">
        <v>261</v>
      </c>
      <c r="K103" s="11" t="s">
        <v>262</v>
      </c>
      <c r="L103" s="11" t="s">
        <v>260</v>
      </c>
      <c r="M103" s="11" t="s">
        <v>67</v>
      </c>
      <c r="N103" s="11" t="s">
        <v>54</v>
      </c>
      <c r="O103" s="11" t="s">
        <v>55</v>
      </c>
    </row>
    <row r="104" spans="10:15" x14ac:dyDescent="0.25">
      <c r="J104" s="11" t="s">
        <v>263</v>
      </c>
      <c r="K104" s="11" t="s">
        <v>264</v>
      </c>
      <c r="L104" s="11" t="s">
        <v>260</v>
      </c>
      <c r="M104" s="11" t="s">
        <v>67</v>
      </c>
      <c r="N104" s="11" t="s">
        <v>54</v>
      </c>
      <c r="O104" s="11" t="s">
        <v>55</v>
      </c>
    </row>
    <row r="105" spans="10:15" x14ac:dyDescent="0.25">
      <c r="J105" s="11" t="s">
        <v>265</v>
      </c>
      <c r="K105" s="11" t="s">
        <v>266</v>
      </c>
      <c r="L105" s="11" t="s">
        <v>260</v>
      </c>
      <c r="M105" s="11" t="s">
        <v>67</v>
      </c>
      <c r="N105" s="11" t="s">
        <v>54</v>
      </c>
      <c r="O105" s="11" t="s">
        <v>55</v>
      </c>
    </row>
    <row r="106" spans="10:15" x14ac:dyDescent="0.25">
      <c r="J106" s="11" t="s">
        <v>267</v>
      </c>
      <c r="K106" s="11" t="s">
        <v>268</v>
      </c>
      <c r="L106" s="11" t="s">
        <v>260</v>
      </c>
      <c r="M106" s="11" t="s">
        <v>67</v>
      </c>
      <c r="N106" s="11" t="s">
        <v>54</v>
      </c>
      <c r="O106" s="11" t="s">
        <v>55</v>
      </c>
    </row>
    <row r="107" spans="10:15" x14ac:dyDescent="0.25">
      <c r="J107" s="11" t="s">
        <v>269</v>
      </c>
      <c r="K107" s="11" t="s">
        <v>270</v>
      </c>
      <c r="L107" s="11" t="s">
        <v>260</v>
      </c>
      <c r="M107" s="11" t="s">
        <v>67</v>
      </c>
      <c r="N107" s="11" t="s">
        <v>54</v>
      </c>
      <c r="O107" s="11" t="s">
        <v>55</v>
      </c>
    </row>
    <row r="108" spans="10:15" x14ac:dyDescent="0.25">
      <c r="J108" s="11" t="s">
        <v>271</v>
      </c>
      <c r="K108" s="11" t="s">
        <v>272</v>
      </c>
      <c r="L108" s="11" t="s">
        <v>260</v>
      </c>
      <c r="M108" s="11" t="s">
        <v>67</v>
      </c>
      <c r="N108" s="11" t="s">
        <v>54</v>
      </c>
      <c r="O108" s="11" t="s">
        <v>55</v>
      </c>
    </row>
    <row r="109" spans="10:15" x14ac:dyDescent="0.25">
      <c r="J109" s="11" t="s">
        <v>273</v>
      </c>
      <c r="K109" s="11" t="s">
        <v>274</v>
      </c>
      <c r="L109" s="11" t="s">
        <v>260</v>
      </c>
      <c r="M109" s="11" t="s">
        <v>67</v>
      </c>
      <c r="N109" s="11" t="s">
        <v>54</v>
      </c>
      <c r="O109" s="11" t="s">
        <v>55</v>
      </c>
    </row>
    <row r="110" spans="10:15" x14ac:dyDescent="0.25">
      <c r="J110" s="11" t="s">
        <v>275</v>
      </c>
      <c r="K110" s="11" t="s">
        <v>276</v>
      </c>
      <c r="L110" s="11" t="s">
        <v>260</v>
      </c>
      <c r="M110" s="11" t="s">
        <v>67</v>
      </c>
      <c r="N110" s="11" t="s">
        <v>54</v>
      </c>
      <c r="O110" s="11" t="s">
        <v>55</v>
      </c>
    </row>
    <row r="111" spans="10:15" x14ac:dyDescent="0.25">
      <c r="J111" s="11" t="s">
        <v>277</v>
      </c>
      <c r="K111" s="11" t="s">
        <v>278</v>
      </c>
      <c r="L111" s="11" t="s">
        <v>279</v>
      </c>
      <c r="M111" s="11" t="s">
        <v>67</v>
      </c>
      <c r="N111" s="11" t="s">
        <v>54</v>
      </c>
      <c r="O111" s="11" t="s">
        <v>55</v>
      </c>
    </row>
    <row r="112" spans="10:15" x14ac:dyDescent="0.25">
      <c r="J112" s="11" t="s">
        <v>280</v>
      </c>
      <c r="K112" s="11" t="s">
        <v>281</v>
      </c>
      <c r="L112" s="11" t="s">
        <v>279</v>
      </c>
      <c r="M112" s="11" t="s">
        <v>67</v>
      </c>
      <c r="N112" s="11" t="s">
        <v>54</v>
      </c>
      <c r="O112" s="11" t="s">
        <v>55</v>
      </c>
    </row>
    <row r="113" spans="10:15" x14ac:dyDescent="0.25">
      <c r="J113" s="11" t="s">
        <v>282</v>
      </c>
      <c r="K113" s="11" t="s">
        <v>283</v>
      </c>
      <c r="L113" s="11" t="s">
        <v>279</v>
      </c>
      <c r="M113" s="11" t="s">
        <v>67</v>
      </c>
      <c r="N113" s="11" t="s">
        <v>54</v>
      </c>
      <c r="O113" s="11" t="s">
        <v>55</v>
      </c>
    </row>
    <row r="114" spans="10:15" x14ac:dyDescent="0.25">
      <c r="J114" s="11" t="s">
        <v>284</v>
      </c>
      <c r="K114" s="11" t="s">
        <v>285</v>
      </c>
      <c r="L114" s="11" t="s">
        <v>279</v>
      </c>
      <c r="M114" s="11" t="s">
        <v>67</v>
      </c>
      <c r="N114" s="11" t="s">
        <v>54</v>
      </c>
      <c r="O114" s="11" t="s">
        <v>55</v>
      </c>
    </row>
    <row r="115" spans="10:15" x14ac:dyDescent="0.25">
      <c r="J115" s="11" t="s">
        <v>286</v>
      </c>
      <c r="K115" s="11" t="s">
        <v>287</v>
      </c>
      <c r="L115" s="11" t="s">
        <v>279</v>
      </c>
      <c r="M115" s="11" t="s">
        <v>67</v>
      </c>
      <c r="N115" s="11" t="s">
        <v>54</v>
      </c>
      <c r="O115" s="11" t="s">
        <v>55</v>
      </c>
    </row>
    <row r="116" spans="10:15" x14ac:dyDescent="0.25">
      <c r="J116" s="11" t="s">
        <v>288</v>
      </c>
      <c r="K116" s="11" t="s">
        <v>289</v>
      </c>
      <c r="L116" s="11" t="s">
        <v>279</v>
      </c>
      <c r="M116" s="11" t="s">
        <v>67</v>
      </c>
      <c r="N116" s="11" t="s">
        <v>54</v>
      </c>
      <c r="O116" s="11" t="s">
        <v>55</v>
      </c>
    </row>
    <row r="117" spans="10:15" x14ac:dyDescent="0.25">
      <c r="J117" s="11" t="s">
        <v>290</v>
      </c>
      <c r="K117" s="11" t="s">
        <v>291</v>
      </c>
      <c r="L117" s="11" t="s">
        <v>279</v>
      </c>
      <c r="M117" s="11" t="s">
        <v>67</v>
      </c>
      <c r="N117" s="11" t="s">
        <v>54</v>
      </c>
      <c r="O117" s="11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CFD78-10F0-4AB5-8E5F-2B73CC6AE6B0}">
  <dimension ref="A1:E30"/>
  <sheetViews>
    <sheetView showGridLines="0" workbookViewId="0"/>
  </sheetViews>
  <sheetFormatPr baseColWidth="10" defaultRowHeight="13.2" x14ac:dyDescent="0.25"/>
  <cols>
    <col min="1" max="1" width="10.77734375" style="1" customWidth="1"/>
    <col min="2" max="2" width="12.77734375" style="1" customWidth="1"/>
    <col min="3" max="3" width="20.77734375" style="1" customWidth="1"/>
    <col min="4" max="4" width="60.77734375" style="1" customWidth="1"/>
    <col min="5" max="5" width="20.77734375" style="1" customWidth="1"/>
    <col min="6" max="16384" width="11.5546875" style="1"/>
  </cols>
  <sheetData>
    <row r="1" spans="1:5" ht="17.399999999999999" x14ac:dyDescent="0.3">
      <c r="A1" s="2" t="s">
        <v>382</v>
      </c>
    </row>
    <row r="3" spans="1:5" ht="26.4" x14ac:dyDescent="0.25">
      <c r="A3" s="8" t="s">
        <v>355</v>
      </c>
      <c r="B3" s="8" t="s">
        <v>383</v>
      </c>
      <c r="C3" s="8" t="s">
        <v>384</v>
      </c>
      <c r="D3" s="8" t="s">
        <v>385</v>
      </c>
      <c r="E3" s="8" t="s">
        <v>386</v>
      </c>
    </row>
    <row r="4" spans="1:5" x14ac:dyDescent="0.25">
      <c r="A4" s="9">
        <v>0.1</v>
      </c>
      <c r="B4" s="24">
        <v>46300</v>
      </c>
      <c r="C4" s="9"/>
      <c r="D4" s="9" t="s">
        <v>387</v>
      </c>
      <c r="E4" s="9"/>
    </row>
    <row r="5" spans="1:5" x14ac:dyDescent="0.25">
      <c r="A5" s="10"/>
      <c r="B5" s="10"/>
      <c r="C5" s="10"/>
      <c r="D5" s="10"/>
      <c r="E5" s="10"/>
    </row>
    <row r="6" spans="1:5" x14ac:dyDescent="0.25">
      <c r="A6" s="10"/>
      <c r="B6" s="10"/>
      <c r="C6" s="10"/>
      <c r="D6" s="10"/>
      <c r="E6" s="10"/>
    </row>
    <row r="7" spans="1:5" x14ac:dyDescent="0.25">
      <c r="A7" s="10"/>
      <c r="B7" s="10"/>
      <c r="C7" s="10"/>
      <c r="D7" s="10"/>
      <c r="E7" s="10"/>
    </row>
    <row r="8" spans="1:5" x14ac:dyDescent="0.25">
      <c r="A8" s="10"/>
      <c r="B8" s="10"/>
      <c r="C8" s="10"/>
      <c r="D8" s="10"/>
      <c r="E8" s="10"/>
    </row>
    <row r="9" spans="1:5" x14ac:dyDescent="0.25">
      <c r="A9" s="10"/>
      <c r="B9" s="10"/>
      <c r="C9" s="10"/>
      <c r="D9" s="10"/>
      <c r="E9" s="10"/>
    </row>
    <row r="10" spans="1:5" x14ac:dyDescent="0.25">
      <c r="A10" s="10"/>
      <c r="B10" s="10"/>
      <c r="C10" s="10"/>
      <c r="D10" s="10"/>
      <c r="E10" s="10"/>
    </row>
    <row r="11" spans="1:5" x14ac:dyDescent="0.25">
      <c r="A11" s="10"/>
      <c r="B11" s="10"/>
      <c r="C11" s="10"/>
      <c r="D11" s="10"/>
      <c r="E11" s="10"/>
    </row>
    <row r="12" spans="1:5" x14ac:dyDescent="0.25">
      <c r="A12" s="10"/>
      <c r="B12" s="10"/>
      <c r="C12" s="10"/>
      <c r="D12" s="10"/>
      <c r="E12" s="10"/>
    </row>
    <row r="13" spans="1:5" x14ac:dyDescent="0.25">
      <c r="A13" s="10"/>
      <c r="B13" s="10"/>
      <c r="C13" s="10"/>
      <c r="D13" s="10"/>
      <c r="E13" s="10"/>
    </row>
    <row r="14" spans="1:5" x14ac:dyDescent="0.25">
      <c r="A14" s="10"/>
      <c r="B14" s="10"/>
      <c r="C14" s="10"/>
      <c r="D14" s="10"/>
      <c r="E14" s="10"/>
    </row>
    <row r="15" spans="1:5" x14ac:dyDescent="0.25">
      <c r="A15" s="10"/>
      <c r="B15" s="10"/>
      <c r="C15" s="10"/>
      <c r="D15" s="10"/>
      <c r="E15" s="10"/>
    </row>
    <row r="16" spans="1:5" x14ac:dyDescent="0.25">
      <c r="A16" s="10"/>
      <c r="B16" s="10"/>
      <c r="C16" s="10"/>
      <c r="D16" s="10"/>
      <c r="E16" s="10"/>
    </row>
    <row r="17" spans="1:5" x14ac:dyDescent="0.25">
      <c r="A17" s="10"/>
      <c r="B17" s="10"/>
      <c r="C17" s="10"/>
      <c r="D17" s="10"/>
      <c r="E17" s="10"/>
    </row>
    <row r="18" spans="1:5" x14ac:dyDescent="0.25">
      <c r="A18" s="10"/>
      <c r="B18" s="10"/>
      <c r="C18" s="10"/>
      <c r="D18" s="10"/>
      <c r="E18" s="10"/>
    </row>
    <row r="19" spans="1:5" x14ac:dyDescent="0.25">
      <c r="A19" s="10"/>
      <c r="B19" s="10"/>
      <c r="C19" s="10"/>
      <c r="D19" s="10"/>
      <c r="E19" s="10"/>
    </row>
    <row r="20" spans="1:5" x14ac:dyDescent="0.25">
      <c r="A20" s="10"/>
      <c r="B20" s="10"/>
      <c r="C20" s="10"/>
      <c r="D20" s="10"/>
      <c r="E20" s="10"/>
    </row>
    <row r="21" spans="1:5" x14ac:dyDescent="0.25">
      <c r="A21" s="10"/>
      <c r="B21" s="10"/>
      <c r="C21" s="10"/>
      <c r="D21" s="10"/>
      <c r="E21" s="10"/>
    </row>
    <row r="22" spans="1:5" x14ac:dyDescent="0.25">
      <c r="A22" s="10"/>
      <c r="B22" s="10"/>
      <c r="C22" s="10"/>
      <c r="D22" s="10"/>
      <c r="E22" s="10"/>
    </row>
    <row r="23" spans="1:5" x14ac:dyDescent="0.25">
      <c r="A23" s="10"/>
      <c r="B23" s="10"/>
      <c r="C23" s="10"/>
      <c r="D23" s="10"/>
      <c r="E23" s="10"/>
    </row>
    <row r="24" spans="1:5" x14ac:dyDescent="0.25">
      <c r="A24" s="10"/>
      <c r="B24" s="10"/>
      <c r="C24" s="10"/>
      <c r="D24" s="10"/>
      <c r="E24" s="10"/>
    </row>
    <row r="25" spans="1:5" x14ac:dyDescent="0.25">
      <c r="A25" s="10"/>
      <c r="B25" s="10"/>
      <c r="C25" s="10"/>
      <c r="D25" s="10"/>
      <c r="E25" s="10"/>
    </row>
    <row r="26" spans="1:5" x14ac:dyDescent="0.25">
      <c r="A26" s="10"/>
      <c r="B26" s="10"/>
      <c r="C26" s="10"/>
      <c r="D26" s="10"/>
      <c r="E26" s="10"/>
    </row>
    <row r="27" spans="1:5" x14ac:dyDescent="0.25">
      <c r="A27" s="10"/>
      <c r="B27" s="10"/>
      <c r="C27" s="10"/>
      <c r="D27" s="10"/>
      <c r="E27" s="10"/>
    </row>
    <row r="28" spans="1:5" x14ac:dyDescent="0.25">
      <c r="A28" s="10"/>
      <c r="B28" s="10"/>
      <c r="C28" s="10"/>
      <c r="D28" s="10"/>
      <c r="E28" s="10"/>
    </row>
    <row r="29" spans="1:5" x14ac:dyDescent="0.25">
      <c r="A29" s="10"/>
      <c r="B29" s="10"/>
      <c r="C29" s="10"/>
      <c r="D29" s="10"/>
      <c r="E29" s="10"/>
    </row>
    <row r="30" spans="1:5" x14ac:dyDescent="0.25">
      <c r="A30" s="10"/>
      <c r="B30" s="10"/>
      <c r="C30" s="10"/>
      <c r="D30" s="10"/>
      <c r="E3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How to use</vt:lpstr>
      <vt:lpstr>Naming Register</vt:lpstr>
      <vt:lpstr>Compartments</vt:lpstr>
      <vt:lpstr>Codes</vt:lpstr>
      <vt:lpstr>Change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2026-10-05T13:49:38Z</dcterms:created>
  <dcterms:modified xsi:type="dcterms:W3CDTF">2026-10-05T13:49:43Z</dcterms:modified>
</cp:coreProperties>
</file>